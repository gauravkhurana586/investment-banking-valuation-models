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guaravkhurana586/Downloads/"/>
    </mc:Choice>
  </mc:AlternateContent>
  <xr:revisionPtr revIDLastSave="0" documentId="8_{FC36AA51-097B-456D-881B-82ABF86FE15E}" xr6:coauthVersionLast="47" xr6:coauthVersionMax="47" xr10:uidLastSave="{00000000-0000-0000-0000-000000000000}"/>
  <bookViews>
    <workbookView xWindow="28800" yWindow="0" windowWidth="38400" windowHeight="21600" firstSheet="2" activeTab="2" xr2:uid="{00000000-000D-0000-FFFF-FFFF00000000}"/>
  </bookViews>
  <sheets>
    <sheet name="Deal Overview and Outputs" sheetId="1" r:id="rId1"/>
    <sheet name="Sources and Uses" sheetId="2" r:id="rId2"/>
    <sheet name="Trasaction &amp; Operating Assump," sheetId="16" r:id="rId3"/>
    <sheet name="Operating Model" sheetId="3" r:id="rId4"/>
    <sheet name="Cash Flows and Cash Sweep" sheetId="5" r:id="rId5"/>
    <sheet name="Debt Schedule" sheetId="4" r:id="rId6"/>
    <sheet name="Returns and Senstivities" sheetId="6" r:id="rId7"/>
    <sheet name="Trading Comps Summary" sheetId="8" r:id="rId8"/>
    <sheet name="DCF Summary" sheetId="10" r:id="rId9"/>
    <sheet name="Appendix" sheetId="1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7" l="1"/>
  <c r="I35" i="17"/>
  <c r="J35" i="17"/>
  <c r="K35" i="17"/>
  <c r="I37" i="17"/>
  <c r="H41" i="17"/>
  <c r="J41" i="17"/>
  <c r="K41" i="17"/>
  <c r="I47" i="17"/>
  <c r="B122" i="17"/>
  <c r="B143" i="17"/>
  <c r="D110" i="17"/>
  <c r="D111" i="17"/>
  <c r="D112" i="17"/>
  <c r="D113" i="17"/>
  <c r="D114" i="17"/>
  <c r="B125" i="17" s="1"/>
  <c r="B126" i="17" s="1"/>
  <c r="B102" i="17"/>
  <c r="C102" i="17"/>
  <c r="D102" i="17"/>
  <c r="E102" i="17"/>
  <c r="F102" i="17"/>
  <c r="B104" i="17"/>
  <c r="C104" i="17"/>
  <c r="D104" i="17"/>
  <c r="E104" i="17"/>
  <c r="F104" i="17"/>
  <c r="B107" i="17"/>
  <c r="E110" i="17" s="1"/>
  <c r="F110" i="17" s="1"/>
  <c r="C107" i="17"/>
  <c r="E111" i="17" s="1"/>
  <c r="F111" i="17" s="1"/>
  <c r="D107" i="17"/>
  <c r="E112" i="17" s="1"/>
  <c r="F112" i="17" s="1"/>
  <c r="E107" i="17"/>
  <c r="E113" i="17" s="1"/>
  <c r="F113" i="17" s="1"/>
  <c r="F107" i="17"/>
  <c r="E114" i="17" s="1"/>
  <c r="F114" i="17" s="1"/>
  <c r="C85" i="17"/>
  <c r="D85" i="17"/>
  <c r="E85" i="17"/>
  <c r="F85" i="17"/>
  <c r="G85" i="17"/>
  <c r="B88" i="17"/>
  <c r="C88" i="17"/>
  <c r="D88" i="17"/>
  <c r="E88" i="17"/>
  <c r="F88" i="17"/>
  <c r="G88" i="17"/>
  <c r="C90" i="17"/>
  <c r="D90" i="17"/>
  <c r="E90" i="17"/>
  <c r="F90" i="17"/>
  <c r="G90" i="17"/>
  <c r="C92" i="17"/>
  <c r="D92" i="17"/>
  <c r="E92" i="17"/>
  <c r="F92" i="17"/>
  <c r="G92" i="17"/>
  <c r="C94" i="17"/>
  <c r="D94" i="17"/>
  <c r="E94" i="17"/>
  <c r="F94" i="17"/>
  <c r="G94" i="17"/>
  <c r="C95" i="17"/>
  <c r="D95" i="17"/>
  <c r="E95" i="17"/>
  <c r="F95" i="17"/>
  <c r="G95" i="17"/>
  <c r="C97" i="17"/>
  <c r="D97" i="17"/>
  <c r="E97" i="17"/>
  <c r="F97" i="17"/>
  <c r="G97" i="17"/>
  <c r="B40" i="17"/>
  <c r="B41" i="17"/>
  <c r="B42" i="17"/>
  <c r="B45" i="17"/>
  <c r="B46" i="17"/>
  <c r="B47" i="17"/>
  <c r="C51" i="17"/>
  <c r="D51" i="17"/>
  <c r="C55" i="17"/>
  <c r="D55" i="17"/>
  <c r="B8" i="17"/>
  <c r="C8" i="17"/>
  <c r="D8" i="17"/>
  <c r="E8" i="17"/>
  <c r="B14" i="17"/>
  <c r="D14" i="17"/>
  <c r="B17" i="17"/>
  <c r="H36" i="17" s="1"/>
  <c r="C17" i="17"/>
  <c r="D17" i="17"/>
  <c r="J36" i="17" s="1"/>
  <c r="E17" i="17"/>
  <c r="K36" i="17" s="1"/>
  <c r="B19" i="17"/>
  <c r="H37" i="17" s="1"/>
  <c r="C19" i="17"/>
  <c r="D19" i="17"/>
  <c r="J37" i="17" s="1"/>
  <c r="E19" i="17"/>
  <c r="K37" i="17" s="1"/>
  <c r="B25" i="17"/>
  <c r="C25" i="17"/>
  <c r="D25" i="17"/>
  <c r="E25" i="17"/>
  <c r="B29" i="10"/>
  <c r="B31" i="10" s="1"/>
  <c r="B25" i="10"/>
  <c r="B20" i="10"/>
  <c r="B19" i="10"/>
  <c r="B18" i="10"/>
  <c r="B17" i="10"/>
  <c r="B16" i="10"/>
  <c r="C29" i="8"/>
  <c r="D29" i="8"/>
  <c r="B29" i="8"/>
  <c r="B23" i="8"/>
  <c r="C23" i="8" s="1"/>
  <c r="C28" i="8" s="1"/>
  <c r="C30" i="8" s="1"/>
  <c r="B24" i="8"/>
  <c r="C24" i="8" s="1"/>
  <c r="D28" i="8" s="1"/>
  <c r="D30" i="8" s="1"/>
  <c r="B22" i="8"/>
  <c r="C22" i="8" s="1"/>
  <c r="B28" i="8" s="1"/>
  <c r="B30" i="8" s="1"/>
  <c r="B23" i="6"/>
  <c r="B11" i="6"/>
  <c r="B15" i="6" s="1"/>
  <c r="B6" i="6"/>
  <c r="B15" i="5"/>
  <c r="C20" i="5"/>
  <c r="D20" i="5"/>
  <c r="E20" i="5"/>
  <c r="F20" i="5"/>
  <c r="B20" i="5"/>
  <c r="C19" i="5"/>
  <c r="D19" i="5"/>
  <c r="E19" i="5"/>
  <c r="F19" i="5"/>
  <c r="B19" i="5"/>
  <c r="C15" i="5"/>
  <c r="C17" i="5" s="1"/>
  <c r="D15" i="5"/>
  <c r="D17" i="5" s="1"/>
  <c r="E15" i="5"/>
  <c r="E17" i="5" s="1"/>
  <c r="F15" i="5"/>
  <c r="F17" i="5" s="1"/>
  <c r="B17" i="5"/>
  <c r="C22" i="3"/>
  <c r="C19" i="3"/>
  <c r="D19" i="3"/>
  <c r="E19" i="3"/>
  <c r="F19" i="3"/>
  <c r="G19" i="3"/>
  <c r="B19" i="3"/>
  <c r="B12" i="3"/>
  <c r="E6" i="16"/>
  <c r="E18" i="16"/>
  <c r="E12" i="2"/>
  <c r="B11" i="2"/>
  <c r="B12" i="4"/>
  <c r="C8" i="4" s="1"/>
  <c r="C10" i="4"/>
  <c r="B14" i="3"/>
  <c r="B11" i="3"/>
  <c r="C8" i="3"/>
  <c r="K45" i="17" l="1"/>
  <c r="K47" i="17"/>
  <c r="J45" i="17"/>
  <c r="I54" i="17" s="1"/>
  <c r="J47" i="17"/>
  <c r="H45" i="17"/>
  <c r="H47" i="17"/>
  <c r="F115" i="17"/>
  <c r="B129" i="17" s="1"/>
  <c r="B130" i="17" s="1"/>
  <c r="B135" i="17" s="1"/>
  <c r="B137" i="17" s="1"/>
  <c r="B50" i="17"/>
  <c r="B54" i="17" s="1"/>
  <c r="C50" i="17"/>
  <c r="C54" i="17" s="1"/>
  <c r="D50" i="17"/>
  <c r="D54" i="17" s="1"/>
  <c r="B51" i="17"/>
  <c r="B55" i="17" s="1"/>
  <c r="C12" i="3"/>
  <c r="C10" i="3"/>
  <c r="B16" i="3"/>
  <c r="B17" i="3"/>
  <c r="D8" i="3"/>
  <c r="C21" i="4"/>
  <c r="E8" i="3"/>
  <c r="D12" i="3"/>
  <c r="C14" i="3"/>
  <c r="C19" i="4"/>
  <c r="D10" i="3"/>
  <c r="H52" i="17" l="1"/>
  <c r="H53" i="17"/>
  <c r="H54" i="17"/>
  <c r="I52" i="17"/>
  <c r="I53" i="17"/>
  <c r="C16" i="3"/>
  <c r="C20" i="4" s="1"/>
  <c r="C17" i="3"/>
  <c r="C23" i="4"/>
  <c r="D19" i="4"/>
  <c r="D14" i="3"/>
  <c r="D21" i="4"/>
  <c r="D22" i="4"/>
  <c r="E10" i="3"/>
  <c r="E12" i="3"/>
  <c r="F8" i="3"/>
  <c r="D16" i="3" l="1"/>
  <c r="D20" i="4" s="1"/>
  <c r="D17" i="3"/>
  <c r="D22" i="3" s="1"/>
  <c r="C11" i="4"/>
  <c r="C24" i="4"/>
  <c r="D23" i="4"/>
  <c r="D11" i="4" s="1"/>
  <c r="C12" i="4"/>
  <c r="E19" i="4"/>
  <c r="E14" i="3"/>
  <c r="F10" i="3"/>
  <c r="F12" i="3"/>
  <c r="G8" i="3"/>
  <c r="G12" i="3" s="1"/>
  <c r="E21" i="4"/>
  <c r="E22" i="4"/>
  <c r="E16" i="3" l="1"/>
  <c r="E20" i="4" s="1"/>
  <c r="E17" i="3"/>
  <c r="E22" i="3" s="1"/>
  <c r="F19" i="4"/>
  <c r="F14" i="3"/>
  <c r="D8" i="4"/>
  <c r="C13" i="4"/>
  <c r="C15" i="4" s="1"/>
  <c r="G10" i="3"/>
  <c r="F22" i="4"/>
  <c r="F21" i="4"/>
  <c r="E23" i="4"/>
  <c r="E11" i="4" s="1"/>
  <c r="F16" i="3" l="1"/>
  <c r="F20" i="4" s="1"/>
  <c r="F17" i="3"/>
  <c r="F22" i="3" s="1"/>
  <c r="G22" i="4"/>
  <c r="G21" i="4"/>
  <c r="D10" i="4"/>
  <c r="D24" i="4" s="1"/>
  <c r="G14" i="3"/>
  <c r="G19" i="4"/>
  <c r="F23" i="4"/>
  <c r="F11" i="4" s="1"/>
  <c r="G16" i="3" l="1"/>
  <c r="G20" i="4" s="1"/>
  <c r="G17" i="3"/>
  <c r="G22" i="3" s="1"/>
  <c r="D12" i="4"/>
  <c r="G23" i="4"/>
  <c r="G11" i="4" s="1"/>
  <c r="E8" i="4" l="1"/>
  <c r="D13" i="4"/>
  <c r="D15" i="4" s="1"/>
  <c r="E10" i="4" l="1"/>
  <c r="E12" i="4" s="1"/>
  <c r="F8" i="4" l="1"/>
  <c r="E13" i="4"/>
  <c r="E15" i="4" s="1"/>
  <c r="E24" i="4"/>
  <c r="F10" i="4" l="1"/>
  <c r="F24" i="4" s="1"/>
  <c r="F12" i="4" l="1"/>
  <c r="G8" i="4" l="1"/>
  <c r="F13" i="4"/>
  <c r="F15" i="4" s="1"/>
  <c r="G10" i="4" l="1"/>
  <c r="G24" i="4"/>
  <c r="G12" i="4"/>
  <c r="G13" i="4" l="1"/>
  <c r="G15" i="4" s="1"/>
</calcChain>
</file>

<file path=xl/sharedStrings.xml><?xml version="1.0" encoding="utf-8"?>
<sst xmlns="http://schemas.openxmlformats.org/spreadsheetml/2006/main" count="503" uniqueCount="294">
  <si>
    <t>Deal Overview</t>
  </si>
  <si>
    <t>Values</t>
  </si>
  <si>
    <t xml:space="preserve">Base Case Returns </t>
  </si>
  <si>
    <t>Sponsor</t>
  </si>
  <si>
    <t>Appolo</t>
  </si>
  <si>
    <t>Equity Invested</t>
  </si>
  <si>
    <t>Target</t>
  </si>
  <si>
    <t>ADT</t>
  </si>
  <si>
    <t>Equity Proceeds</t>
  </si>
  <si>
    <t>Type</t>
  </si>
  <si>
    <t>Public - Private LBO</t>
  </si>
  <si>
    <t>Year of Acquiring</t>
  </si>
  <si>
    <t>Feb, 2016</t>
  </si>
  <si>
    <t>Gross IRR</t>
  </si>
  <si>
    <t xml:space="preserve">Hold Period </t>
  </si>
  <si>
    <t>5 Years</t>
  </si>
  <si>
    <t>MOIC</t>
  </si>
  <si>
    <t>Key Transaction Metrics</t>
  </si>
  <si>
    <t>Key Assumptions</t>
  </si>
  <si>
    <t>Entry EBITDA</t>
  </si>
  <si>
    <t>Revenue CGAR</t>
  </si>
  <si>
    <t>Entry EBITDA Multiples</t>
  </si>
  <si>
    <t>Exit EBITDA Margin</t>
  </si>
  <si>
    <t>Enterprise Value</t>
  </si>
  <si>
    <t>Capex(% of Revenue)</t>
  </si>
  <si>
    <t>Debt at Entry</t>
  </si>
  <si>
    <t>Change in NWC (% of revneue)</t>
  </si>
  <si>
    <t>Equity Contribution</t>
  </si>
  <si>
    <t>Exit Multiples</t>
  </si>
  <si>
    <t>Debt %</t>
  </si>
  <si>
    <t>Equity Percentage</t>
  </si>
  <si>
    <t>Sources</t>
  </si>
  <si>
    <t>Metrics</t>
  </si>
  <si>
    <t>Term laon B</t>
  </si>
  <si>
    <t>Equity Purchase Price</t>
  </si>
  <si>
    <t>Optional Second Lien Notes</t>
  </si>
  <si>
    <t>Refinance and Existing Debt</t>
  </si>
  <si>
    <t>Sponsor Equity</t>
  </si>
  <si>
    <t>Transaction Fees</t>
  </si>
  <si>
    <t>Total Sources</t>
  </si>
  <si>
    <t>Financing fees</t>
  </si>
  <si>
    <t>Total Uses</t>
  </si>
  <si>
    <t>Trasaction Assumptions</t>
  </si>
  <si>
    <t>Entry Year</t>
  </si>
  <si>
    <t>Operating Base</t>
  </si>
  <si>
    <t>Exit Year</t>
  </si>
  <si>
    <t>Revenue Growth</t>
  </si>
  <si>
    <t>Holding Period</t>
  </si>
  <si>
    <t>EBITDA Margin</t>
  </si>
  <si>
    <t>FCF</t>
  </si>
  <si>
    <t>Entry EV/ EBITDA</t>
  </si>
  <si>
    <t>Exit EV/ EBITDA</t>
  </si>
  <si>
    <t>Cash Flow Assumptions</t>
  </si>
  <si>
    <t>CAPEX ( % of Revenue)</t>
  </si>
  <si>
    <t>Trsaction Fees (% of EBITDA)</t>
  </si>
  <si>
    <t>D&amp;A(% Of Revenue)</t>
  </si>
  <si>
    <t>Financing Fees (% of EBITDA)</t>
  </si>
  <si>
    <t>Cash Tax Rate</t>
  </si>
  <si>
    <t>NWC(% of Revenue)</t>
  </si>
  <si>
    <t>Operating Assumptions</t>
  </si>
  <si>
    <t>Entry Valuation</t>
  </si>
  <si>
    <t>EBITDA Margin (Entry)</t>
  </si>
  <si>
    <t>EBITDA Margin (Exit)</t>
  </si>
  <si>
    <t>Entry EV</t>
  </si>
  <si>
    <t>Margin Expansion bps</t>
  </si>
  <si>
    <t>Entry Multiples</t>
  </si>
  <si>
    <t>Projections Assumptions</t>
  </si>
  <si>
    <t>Revenue Grwoth</t>
  </si>
  <si>
    <t>Capex (% of Revenue)</t>
  </si>
  <si>
    <t>D&amp;A( % of revenue)</t>
  </si>
  <si>
    <t>Hold Period</t>
  </si>
  <si>
    <t>5Years</t>
  </si>
  <si>
    <t>Change in NWC (% of Revenue)</t>
  </si>
  <si>
    <t>Financing Assumption</t>
  </si>
  <si>
    <t>Column1</t>
  </si>
  <si>
    <t>Column2</t>
  </si>
  <si>
    <t>Interest Rate (%)</t>
  </si>
  <si>
    <t>Purchase Price Per share</t>
  </si>
  <si>
    <t>Mandatory Assumptions (%)</t>
  </si>
  <si>
    <t>Fully Diluted shares</t>
  </si>
  <si>
    <t>Cash Sweep (% or Toggle)</t>
  </si>
  <si>
    <t>Enterpeise Value</t>
  </si>
  <si>
    <t>Transaction Fees( % of EV)</t>
  </si>
  <si>
    <t>Financing Fees( % of Debt)</t>
  </si>
  <si>
    <t>Base Year 2016</t>
  </si>
  <si>
    <t>Year 1</t>
  </si>
  <si>
    <t>Year 2</t>
  </si>
  <si>
    <t>Year 3</t>
  </si>
  <si>
    <t>Year 4</t>
  </si>
  <si>
    <t>Year 5</t>
  </si>
  <si>
    <t>Revenue</t>
  </si>
  <si>
    <t>% Growth</t>
  </si>
  <si>
    <t>EBITDA</t>
  </si>
  <si>
    <t>D&amp;A</t>
  </si>
  <si>
    <t>D&amp;A % of Revenue</t>
  </si>
  <si>
    <t>EBIT</t>
  </si>
  <si>
    <t>Cash Tax (% )</t>
  </si>
  <si>
    <t>Cash Taxes</t>
  </si>
  <si>
    <t>NOPAT</t>
  </si>
  <si>
    <t>CapEx %</t>
  </si>
  <si>
    <t>CapEX</t>
  </si>
  <si>
    <t>Change in NWC  1% of Change in Revenue</t>
  </si>
  <si>
    <t>Change in NWC</t>
  </si>
  <si>
    <t>UFCF</t>
  </si>
  <si>
    <t>Capital Structure Disciplined Assumptions</t>
  </si>
  <si>
    <t>Sponsor Debt</t>
  </si>
  <si>
    <t>Unlevered Free Cash Flow</t>
  </si>
  <si>
    <t>Begining Cash Balance</t>
  </si>
  <si>
    <t>cash Aviablable for Debt Payments</t>
  </si>
  <si>
    <t>Mandatory Ammortization %</t>
  </si>
  <si>
    <t xml:space="preserve">Mandatory Ammortization </t>
  </si>
  <si>
    <t>Cash Sweep</t>
  </si>
  <si>
    <t>Ending Cash Balance</t>
  </si>
  <si>
    <t>Base Year</t>
  </si>
  <si>
    <t>Beginning Balance</t>
  </si>
  <si>
    <t>Mandatory Ammortizatiion %</t>
  </si>
  <si>
    <t>Ending Balance</t>
  </si>
  <si>
    <t>Average Balance</t>
  </si>
  <si>
    <t>Interest Rate</t>
  </si>
  <si>
    <t>Interest Expenses</t>
  </si>
  <si>
    <t>Cash Flow</t>
  </si>
  <si>
    <t>Less : Cash Taxes</t>
  </si>
  <si>
    <t>Less Capex</t>
  </si>
  <si>
    <t>Less Change in NWC</t>
  </si>
  <si>
    <t>Cash Available for Debt repayment</t>
  </si>
  <si>
    <t>Entry Exit  Cash Flow Bridge</t>
  </si>
  <si>
    <t xml:space="preserve">Holding Period </t>
  </si>
  <si>
    <t>Entry Enterprise Value</t>
  </si>
  <si>
    <t>Net Debt</t>
  </si>
  <si>
    <t>Exit EBITDA</t>
  </si>
  <si>
    <t>Exit Enterprise Value</t>
  </si>
  <si>
    <t>Net debt at the Exit</t>
  </si>
  <si>
    <t>Equity Value at Exit</t>
  </si>
  <si>
    <t>Equity Returns</t>
  </si>
  <si>
    <t>Equity Invested Year LTM</t>
  </si>
  <si>
    <t>Exit Proceeds Year 5</t>
  </si>
  <si>
    <t>IRR</t>
  </si>
  <si>
    <t xml:space="preserve">IRR vs EXIT multiple </t>
  </si>
  <si>
    <t>6.5</t>
  </si>
  <si>
    <t>7</t>
  </si>
  <si>
    <t>7.5</t>
  </si>
  <si>
    <t>8</t>
  </si>
  <si>
    <t>8.5</t>
  </si>
  <si>
    <t xml:space="preserve">IRR  </t>
  </si>
  <si>
    <t>IRR vs Capital Structure</t>
  </si>
  <si>
    <t>Debt/ Equity</t>
  </si>
  <si>
    <t>60/40</t>
  </si>
  <si>
    <t>65/35</t>
  </si>
  <si>
    <t>70/30</t>
  </si>
  <si>
    <t xml:space="preserve">Equity Invested  </t>
  </si>
  <si>
    <t>Peer Group</t>
  </si>
  <si>
    <t>ADT Inc</t>
  </si>
  <si>
    <t>Arlo Technology</t>
  </si>
  <si>
    <t>Alarm.com</t>
  </si>
  <si>
    <t>Resideo Technology</t>
  </si>
  <si>
    <t>Trading Multiples Statistics</t>
  </si>
  <si>
    <t>EV/ EBITDA</t>
  </si>
  <si>
    <t>Multiples</t>
  </si>
  <si>
    <t>25th Percentile</t>
  </si>
  <si>
    <t>Median</t>
  </si>
  <si>
    <t>75th Percentile</t>
  </si>
  <si>
    <t>Implied Valuation</t>
  </si>
  <si>
    <t>Item</t>
  </si>
  <si>
    <t>Value</t>
  </si>
  <si>
    <t>Enterprise Value Range</t>
  </si>
  <si>
    <t>Muliple Case</t>
  </si>
  <si>
    <t>Low</t>
  </si>
  <si>
    <t>High</t>
  </si>
  <si>
    <t>Equity Value Bridge</t>
  </si>
  <si>
    <t xml:space="preserve">Enterprise Value  </t>
  </si>
  <si>
    <t xml:space="preserve">Equity Value  </t>
  </si>
  <si>
    <t>Valauation Method</t>
  </si>
  <si>
    <t>Unleveraged DCF</t>
  </si>
  <si>
    <t>Currency</t>
  </si>
  <si>
    <t>USD mm</t>
  </si>
  <si>
    <t xml:space="preserve">Base Year </t>
  </si>
  <si>
    <t>Projection Period</t>
  </si>
  <si>
    <t>2026-2030</t>
  </si>
  <si>
    <t>Terminal Year</t>
  </si>
  <si>
    <t>WAAC</t>
  </si>
  <si>
    <t>Terminal Growth Rate</t>
  </si>
  <si>
    <t>Terminal Value Method</t>
  </si>
  <si>
    <t>Prepetuity Growth</t>
  </si>
  <si>
    <t>Unlevered free Cash Flow</t>
  </si>
  <si>
    <t>Year</t>
  </si>
  <si>
    <t>DCF Component</t>
  </si>
  <si>
    <t>PV of UFCF</t>
  </si>
  <si>
    <t xml:space="preserve">Terminal Value  </t>
  </si>
  <si>
    <t>PV of Terminal Value</t>
  </si>
  <si>
    <t>Enterprise Value (DCF)</t>
  </si>
  <si>
    <t>Implied Value Range</t>
  </si>
  <si>
    <t>1.50%</t>
  </si>
  <si>
    <t>2.00%</t>
  </si>
  <si>
    <t>2.50%</t>
  </si>
  <si>
    <t>WAAC/ TG</t>
  </si>
  <si>
    <t>Appendix A</t>
  </si>
  <si>
    <t>Trading Comps Details</t>
  </si>
  <si>
    <t>ADT inc</t>
  </si>
  <si>
    <t>Arlo Technologies</t>
  </si>
  <si>
    <t>Resideo Technologies</t>
  </si>
  <si>
    <t xml:space="preserve">Year of Acquring </t>
  </si>
  <si>
    <t>Share Price</t>
  </si>
  <si>
    <t>Diluted shares Outstanding</t>
  </si>
  <si>
    <t>Equity Value</t>
  </si>
  <si>
    <t>Short Term Debt</t>
  </si>
  <si>
    <t>-</t>
  </si>
  <si>
    <t>Long Term Debt</t>
  </si>
  <si>
    <t>Capital Leases</t>
  </si>
  <si>
    <t>Total Debt</t>
  </si>
  <si>
    <t>Cash and Cash Equivalents</t>
  </si>
  <si>
    <t>Restricted Cash</t>
  </si>
  <si>
    <t>Minority Interest</t>
  </si>
  <si>
    <t>Preferref Equity</t>
  </si>
  <si>
    <t>Penison/ Other</t>
  </si>
  <si>
    <t>Adjested Enterpeise Value</t>
  </si>
  <si>
    <t>Appendix B</t>
  </si>
  <si>
    <t>Trading Comps Implied Valuation</t>
  </si>
  <si>
    <t>Minimun</t>
  </si>
  <si>
    <t>Maximum</t>
  </si>
  <si>
    <t>EV/Revenue</t>
  </si>
  <si>
    <t>LTM revenue</t>
  </si>
  <si>
    <t>LTM EBITDA</t>
  </si>
  <si>
    <t>Implied Enterpise Value</t>
  </si>
  <si>
    <t>LTM Revenue</t>
  </si>
  <si>
    <t>Min</t>
  </si>
  <si>
    <t xml:space="preserve">EBITDA </t>
  </si>
  <si>
    <t>NM</t>
  </si>
  <si>
    <t>Max</t>
  </si>
  <si>
    <t>Implied EBITDA</t>
  </si>
  <si>
    <t>Values2</t>
  </si>
  <si>
    <t>Values3</t>
  </si>
  <si>
    <t>Values4</t>
  </si>
  <si>
    <t>Equity Value/ EBITDA</t>
  </si>
  <si>
    <t>Equity Value / Revenue</t>
  </si>
  <si>
    <t>Bridge to Equity</t>
  </si>
  <si>
    <t>Column3</t>
  </si>
  <si>
    <t>EV/ Revenue</t>
  </si>
  <si>
    <t>Summary Statistics</t>
  </si>
  <si>
    <t>Implied Share Price</t>
  </si>
  <si>
    <t xml:space="preserve">Mimimum </t>
  </si>
  <si>
    <t>ADT shares outstanding</t>
  </si>
  <si>
    <t xml:space="preserve">Appendix C </t>
  </si>
  <si>
    <t>DCF details and Terminal value</t>
  </si>
  <si>
    <t>Revenue Growth Assumptions</t>
  </si>
  <si>
    <t>Growth Rate</t>
  </si>
  <si>
    <t>D&amp;A(% of Revenue)</t>
  </si>
  <si>
    <t>Capex(% of Revnue)</t>
  </si>
  <si>
    <t>Change in NWC(% of Revenue)</t>
  </si>
  <si>
    <t>Discount Rate Assumptions</t>
  </si>
  <si>
    <t>Risk Free Rate</t>
  </si>
  <si>
    <t>Market Risk Premium</t>
  </si>
  <si>
    <t>Beta</t>
  </si>
  <si>
    <t>Cost of Equity</t>
  </si>
  <si>
    <t>Pre Tax Cost of Debt</t>
  </si>
  <si>
    <t>Tax Rate</t>
  </si>
  <si>
    <t>After Tax Cost of Debt</t>
  </si>
  <si>
    <t>Target Debt</t>
  </si>
  <si>
    <t>Terminal Growth Method</t>
  </si>
  <si>
    <t>Appendix D</t>
  </si>
  <si>
    <t>DCF sensitivities Details</t>
  </si>
  <si>
    <t>2025A</t>
  </si>
  <si>
    <t>2026E</t>
  </si>
  <si>
    <t>2027E</t>
  </si>
  <si>
    <t>2028E</t>
  </si>
  <si>
    <t>2029E</t>
  </si>
  <si>
    <t>2030E</t>
  </si>
  <si>
    <t>EBITDA Margins</t>
  </si>
  <si>
    <t xml:space="preserve">EBITDA  </t>
  </si>
  <si>
    <t xml:space="preserve">D&amp;A </t>
  </si>
  <si>
    <t>CapEx</t>
  </si>
  <si>
    <t>Change  in NWC(%of Revenue</t>
  </si>
  <si>
    <t xml:space="preserve">change in NWC </t>
  </si>
  <si>
    <t>Cassh Taxes</t>
  </si>
  <si>
    <t>OPerating Cash Flow</t>
  </si>
  <si>
    <t>Unlevered FCF</t>
  </si>
  <si>
    <t>n</t>
  </si>
  <si>
    <t>Discount Factor</t>
  </si>
  <si>
    <t xml:space="preserve">Calculated Discount Factor </t>
  </si>
  <si>
    <t>Unleverage FCF</t>
  </si>
  <si>
    <t>Calculated PV of FCF</t>
  </si>
  <si>
    <t>Sum of PV's</t>
  </si>
  <si>
    <t>7.50%</t>
  </si>
  <si>
    <t>Terminal Growth</t>
  </si>
  <si>
    <t>2030E UFCF</t>
  </si>
  <si>
    <t>Terminal Value</t>
  </si>
  <si>
    <t>Present Value for Terminal Value</t>
  </si>
  <si>
    <t>Discount Factor for Year 5</t>
  </si>
  <si>
    <t>PV of TV</t>
  </si>
  <si>
    <t>PV of Explicit UFCF</t>
  </si>
  <si>
    <t>Total Enterprise Value</t>
  </si>
  <si>
    <t>Shares Outstanding</t>
  </si>
  <si>
    <t>Exit Multiples Sanity Check</t>
  </si>
  <si>
    <t>2030E EBITDA</t>
  </si>
  <si>
    <t>Implied Exit Ev/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</si>
</sst>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00"/>
  </numFmts>
  <fonts count="8">
    <font>
      <sz val="12"/>
      <color theme="1"/>
      <name val="Times New Roman"/>
      <scheme val="minor"/>
    </font>
    <font>
      <sz val="12"/>
      <color theme="1"/>
      <name val="Times New Roman"/>
      <family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  <scheme val="minor"/>
    </font>
    <font>
      <b/>
      <sz val="12"/>
      <color theme="1"/>
      <name val="Times New Roman"/>
      <scheme val="minor"/>
    </font>
    <font>
      <b/>
      <sz val="12"/>
      <color theme="4"/>
      <name val="Times New Roman"/>
      <family val="1"/>
      <scheme val="minor"/>
    </font>
    <font>
      <b/>
      <sz val="12"/>
      <color theme="4"/>
      <name val="Times New Roman"/>
      <scheme val="minor"/>
    </font>
    <font>
      <b/>
      <sz val="12"/>
      <color rgb="FF156082"/>
      <name val="Times New Roman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0" fontId="2" fillId="0" borderId="0" xfId="0" applyNumberFormat="1" applyFont="1"/>
    <xf numFmtId="9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165" fontId="1" fillId="0" borderId="0" xfId="0" applyNumberFormat="1" applyFont="1"/>
    <xf numFmtId="4" fontId="2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2" fontId="1" fillId="0" borderId="0" xfId="0" applyNumberFormat="1" applyFont="1"/>
    <xf numFmtId="166" fontId="1" fillId="0" borderId="0" xfId="0" applyNumberFormat="1" applyFont="1"/>
    <xf numFmtId="4" fontId="1" fillId="0" borderId="0" xfId="0" applyNumberFormat="1" applyFont="1"/>
    <xf numFmtId="10" fontId="0" fillId="0" borderId="0" xfId="0" applyNumberFormat="1"/>
    <xf numFmtId="0" fontId="3" fillId="0" borderId="0" xfId="0" applyFont="1"/>
    <xf numFmtId="165" fontId="3" fillId="0" borderId="0" xfId="0" applyNumberFormat="1" applyFont="1"/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10" fontId="6" fillId="0" borderId="0" xfId="0" applyNumberFormat="1" applyFont="1"/>
    <xf numFmtId="9" fontId="0" fillId="0" borderId="0" xfId="0" applyNumberFormat="1"/>
    <xf numFmtId="1" fontId="1" fillId="0" borderId="0" xfId="0" applyNumberFormat="1" applyFont="1"/>
    <xf numFmtId="165" fontId="0" fillId="0" borderId="0" xfId="0" applyNumberFormat="1"/>
    <xf numFmtId="1" fontId="0" fillId="0" borderId="0" xfId="0" applyNumberFormat="1"/>
    <xf numFmtId="10" fontId="4" fillId="0" borderId="0" xfId="0" applyNumberFormat="1" applyFont="1"/>
    <xf numFmtId="0" fontId="7" fillId="2" borderId="0" xfId="0" applyFont="1" applyFill="1"/>
    <xf numFmtId="2" fontId="0" fillId="0" borderId="0" xfId="0" applyNumberFormat="1"/>
  </cellXfs>
  <cellStyles count="1">
    <cellStyle name="Normal" xfId="0" builtinId="0"/>
  </cellStyles>
  <dxfs count="12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  <numFmt numFmtId="165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  <numFmt numFmtId="165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  <numFmt numFmtId="165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  <numFmt numFmtId="165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numFmt numFmtId="14" formatCode="0.00%"/>
    </dxf>
    <dxf>
      <numFmt numFmtId="14" formatCode="0.00%"/>
    </dxf>
    <dxf>
      <numFmt numFmtId="2" formatCode="0.00"/>
    </dxf>
    <dxf>
      <fill>
        <patternFill patternType="solid">
          <fgColor indexed="64"/>
          <bgColor rgb="FFFFFF00"/>
        </patternFill>
      </fill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minor"/>
      </font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Times New Roman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inor"/>
      </font>
    </dxf>
    <dxf>
      <font>
        <b/>
        <color theme="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7458205-003E-4C81-BAB8-1EEA543DDAEA}" name="Table30" displayName="Table30" ref="D2:E7" totalsRowShown="0">
  <autoFilter ref="D2:E7" xr:uid="{57458205-003E-4C81-BAB8-1EEA543DDAEA}"/>
  <tableColumns count="2">
    <tableColumn id="1" xr3:uid="{BAC3B47C-8F8F-4E58-B88A-CE2A88B9DF55}" name="Base Case Returns "/>
    <tableColumn id="2" xr3:uid="{F5AA9FC2-DB13-4AF1-9DE1-902964256F54}" name="Values" dataDxfId="1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CFDDF6F-8EBE-47A6-A664-7B629A80BDA6}" name="Table31" displayName="Table31" ref="A2:B7" totalsRowShown="0" headerRowDxfId="127" dataDxfId="126">
  <autoFilter ref="A2:B7" xr:uid="{1CFDDF6F-8EBE-47A6-A664-7B629A80BDA6}"/>
  <tableColumns count="2">
    <tableColumn id="1" xr3:uid="{D121F5DE-9C79-4425-A367-59EA443E77A7}" name="Deal Overview" dataDxfId="125"/>
    <tableColumn id="2" xr3:uid="{78FC1F72-1573-4E8F-89CC-57430BF16E0E}" name="Values" dataDxfId="1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98EB86B-ABBF-4CD2-B1A3-6FA4EA143D80}" name="Table32" displayName="Table32" ref="D10:E15" totalsRowShown="0">
  <autoFilter ref="D10:E15" xr:uid="{D98EB86B-ABBF-4CD2-B1A3-6FA4EA143D80}"/>
  <tableColumns count="2">
    <tableColumn id="1" xr3:uid="{4A5F2A0C-B51E-4E86-BC5A-24B0EA5156BF}" name="Key Assumptions"/>
    <tableColumn id="2" xr3:uid="{7A2F0932-B715-4087-85B0-CBBAD31649C9}" name="Valu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2A00456-A42E-4E9C-895E-34358F7EFBC9}" name="Table33" displayName="Table33" ref="A10:B17" totalsRowShown="0">
  <autoFilter ref="A10:B17" xr:uid="{02A00456-A42E-4E9C-895E-34358F7EFBC9}"/>
  <tableColumns count="2">
    <tableColumn id="1" xr3:uid="{E6A9D82B-7575-4453-B567-96DA3A59688B}" name="Key Transaction Metrics"/>
    <tableColumn id="2" xr3:uid="{2EA0FCEA-0A69-43E4-A11D-08999269FAA8}" name="Valu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B25CA5-453D-44E9-86EF-DF9B6237C60C}" name="Table7" displayName="Table7" ref="D7:E12" totalsRowShown="0" dataDxfId="123">
  <autoFilter ref="D7:E12" xr:uid="{96B25CA5-453D-44E9-86EF-DF9B6237C60C}"/>
  <tableColumns count="2">
    <tableColumn id="1" xr3:uid="{B09CA543-63DD-49D7-AC8C-E1FB7FFAA223}" name="Metrics" dataDxfId="122"/>
    <tableColumn id="2" xr3:uid="{6DFED147-67E9-4B65-9BFF-E792D63949A7}" name="Values" dataDxfId="1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117EDC-3D21-474D-8365-16EB0474C6A9}" name="Table8" displayName="Table8" ref="A7:B11" totalsRowShown="0" dataDxfId="120">
  <autoFilter ref="A7:B11" xr:uid="{31117EDC-3D21-474D-8365-16EB0474C6A9}"/>
  <tableColumns count="2">
    <tableColumn id="1" xr3:uid="{6B211D4C-6CB3-46AE-A8BB-FE1BFB06733B}" name="Sources" dataDxfId="119"/>
    <tableColumn id="2" xr3:uid="{EE3B7CC1-BFCC-4402-840C-4F2956008022}" name="Values" dataDxfId="1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93740F-9EE7-4DD7-B293-76B6742E738A}" name="Table2" displayName="Table2" ref="D3:E7" totalsRowShown="0">
  <autoFilter ref="D3:E7" xr:uid="{4793740F-9EE7-4DD7-B293-76B6742E738A}"/>
  <tableColumns count="2">
    <tableColumn id="1" xr3:uid="{B14D30DB-DCBA-41B7-84DB-3C15743C5C8D}" name="Operating Base" dataDxfId="117"/>
    <tableColumn id="2" xr3:uid="{35C2D861-F009-4CC4-9540-3D6EF6CF95B4}" name="Valu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1DF7B6-5A6C-4478-A80B-A18351E4926D}" name="Table3" displayName="Table3" ref="D9:E13" totalsRowShown="0">
  <autoFilter ref="D9:E13" xr:uid="{901DF7B6-5A6C-4478-A80B-A18351E4926D}"/>
  <tableColumns count="2">
    <tableColumn id="1" xr3:uid="{1B0FAE2F-0571-4770-A581-7E9DB3821799}" name="Cash Flow Assumptions" dataDxfId="116"/>
    <tableColumn id="2" xr3:uid="{6BD93839-4FC6-4869-8986-77845EF68EE0}" name="Valu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9C1CB3-C036-4C4E-BE3B-A0A63CF30E06}" name="Table4" displayName="Table4" ref="D15:E18" totalsRowShown="0" dataDxfId="115">
  <autoFilter ref="D15:E18" xr:uid="{099C1CB3-C036-4C4E-BE3B-A0A63CF30E06}"/>
  <tableColumns count="2">
    <tableColumn id="1" xr3:uid="{06CA12B8-FA77-460E-BA57-BC4423E5B8CE}" name="Entry Valuation" dataDxfId="114"/>
    <tableColumn id="2" xr3:uid="{948551F1-4602-4EF8-BA47-7EE22BF91E6A}" name="Values" dataDxfId="11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E34774-AE0A-4451-91CB-AE1ACC9DB1E9}" name="Table5" displayName="Table5" ref="D20:E24" totalsRowShown="0">
  <autoFilter ref="D20:E24" xr:uid="{5DE34774-AE0A-4451-91CB-AE1ACC9DB1E9}"/>
  <tableColumns count="2">
    <tableColumn id="1" xr3:uid="{A30E297D-72A2-4094-B19F-573B17A33BC5}" name="Projections Assumptions" dataDxfId="112"/>
    <tableColumn id="2" xr3:uid="{2A2BEEA6-BD51-4C43-8ACC-E04D06219770}" name="Valu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7F54F-4FE9-4BFA-971D-44C3BFBD445F}" name="Table1" displayName="Table1" ref="D26:E32" totalsRowShown="0" headerRowDxfId="111">
  <autoFilter ref="D26:E32" xr:uid="{3797F54F-4FE9-4BFA-971D-44C3BFBD445F}"/>
  <tableColumns count="2">
    <tableColumn id="1" xr3:uid="{C42D63B5-A47E-46A2-BA1E-67DA19C58DC8}" name="Column1" dataDxfId="110"/>
    <tableColumn id="2" xr3:uid="{CF20CAE5-B61B-4E31-870C-A7838E189975}" name="Column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B0E2DFED-B55C-46B5-9E5E-F6F5E966455A}" name="Table47" displayName="Table47" ref="A2:B5" totalsRowShown="0">
  <autoFilter ref="A2:B5" xr:uid="{B0E2DFED-B55C-46B5-9E5E-F6F5E966455A}"/>
  <tableColumns count="2">
    <tableColumn id="1" xr3:uid="{B1D03F59-3D7F-4675-848E-DC74F814AC3D}" name="Trasaction Assumptions"/>
    <tableColumn id="2" xr3:uid="{C20F2486-F871-4975-A806-060308F93211}" name="Valu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EA166938-F515-4A58-90E4-F344E70F621C}" name="Table48" displayName="Table48" ref="A7:B12" totalsRowShown="0">
  <autoFilter ref="A7:B12" xr:uid="{EA166938-F515-4A58-90E4-F344E70F621C}"/>
  <tableColumns count="2">
    <tableColumn id="1" xr3:uid="{A2B53420-C979-432B-958E-46CB5E15B016}" name="Metrics"/>
    <tableColumn id="2" xr3:uid="{50C58315-61BA-40FC-BEA3-8DE4588C243D}" name="Valu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6D9A234-6598-4534-B5D0-EA3D19D2108A}" name="Table49" displayName="Table49" ref="A14:B18" totalsRowShown="0">
  <autoFilter ref="A14:B18" xr:uid="{66D9A234-6598-4534-B5D0-EA3D19D2108A}"/>
  <tableColumns count="2">
    <tableColumn id="1" xr3:uid="{5153D723-0F8C-414F-866B-6F78213F2EA8}" name="Operating Assumptions"/>
    <tableColumn id="2" xr3:uid="{B8F067DB-E23D-47D4-B5E9-4432911DD590}" name="Valu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B86406E1-233A-4324-B1FA-2F73E83E16B9}" name="Table50" displayName="Table50" ref="A20:B24" totalsRowShown="0">
  <autoFilter ref="A20:B24" xr:uid="{B86406E1-233A-4324-B1FA-2F73E83E16B9}"/>
  <tableColumns count="2">
    <tableColumn id="1" xr3:uid="{1085EB2D-88B5-4E28-AE64-EBC4BDD35248}" name="Cash Flow Assumptions"/>
    <tableColumn id="2" xr3:uid="{2F6FF6FF-B957-4719-9E82-4B530D4B3CA1}" name="Values" dataDxfId="10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22A18D8-9C39-4194-9373-F67149F4D1F7}" name="Table51" displayName="Table51" ref="A26:B29" totalsRowShown="0">
  <autoFilter ref="A26:B29" xr:uid="{522A18D8-9C39-4194-9373-F67149F4D1F7}"/>
  <tableColumns count="2">
    <tableColumn id="1" xr3:uid="{6EF7832F-4F98-4432-90E7-44464DD07BB0}" name="Financing Assumption"/>
    <tableColumn id="2" xr3:uid="{FD75588D-3513-4D62-BAD8-7C708C855EEF}" name="Valu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B46499-A732-414F-96E2-405E2D7DAA59}" name="Table9" displayName="Table9" ref="A7:G23" totalsRowShown="0" headerRowDxfId="108" dataDxfId="107">
  <autoFilter ref="A7:G23" xr:uid="{99B46499-A732-414F-96E2-405E2D7DAA59}"/>
  <tableColumns count="7">
    <tableColumn id="1" xr3:uid="{CAEB7BEB-700B-48DA-83E0-E3B36FDA8894}" name="Metrics" dataDxfId="106"/>
    <tableColumn id="2" xr3:uid="{366984A2-77D7-46B8-8E01-96F15CCC6C9A}" name="Base Year 2016" dataDxfId="105"/>
    <tableColumn id="3" xr3:uid="{839FB595-6B55-450C-9937-CA97F8AEE3E7}" name="Year 1" dataDxfId="104"/>
    <tableColumn id="4" xr3:uid="{100047E1-8E5F-49FF-8220-00AA37090C81}" name="Year 2" dataDxfId="103"/>
    <tableColumn id="5" xr3:uid="{198B2462-6654-430B-B89B-DBD89F08F5F2}" name="Year 3" dataDxfId="102"/>
    <tableColumn id="6" xr3:uid="{036BC197-E187-4FCD-80A1-E5FE880C5937}" name="Year 4" dataDxfId="101"/>
    <tableColumn id="7" xr3:uid="{1AC25FB3-56C7-4C0B-83B8-9753EC0CAC7B}" name="Year 5" dataDxfId="10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0A7840-19A5-463C-8A29-67D2868385F6}" name="Table6" displayName="Table6" ref="C48:D50" totalsRowShown="0">
  <autoFilter ref="C48:D50" xr:uid="{800A7840-19A5-463C-8A29-67D2868385F6}"/>
  <tableColumns count="2">
    <tableColumn id="1" xr3:uid="{FF25A5B0-6065-4F14-B14F-F2FDA7E923E1}" name="Capital Structure Disciplined Assumptions" dataDxfId="99"/>
    <tableColumn id="2" xr3:uid="{D7D93FC4-8779-46FC-819A-C74D9AC02239}" name="Values" dataDxfId="98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6C1CFE7-C121-4400-806A-B0C27A13E200}" name="Table15" displayName="Table15" ref="A14:F21" totalsRowShown="0">
  <autoFilter ref="A14:F21" xr:uid="{E6C1CFE7-C121-4400-806A-B0C27A13E200}"/>
  <tableColumns count="6">
    <tableColumn id="1" xr3:uid="{ED219C0D-3F89-4082-BD63-BF9FEBD823C3}" name="Metrics" dataDxfId="97"/>
    <tableColumn id="2" xr3:uid="{9ABC9BCC-C283-4BB0-B6EB-A6D2DC984852}" name="Year 1"/>
    <tableColumn id="3" xr3:uid="{F713005D-4235-4296-A197-F2B7A4CE2F3A}" name="Year 2"/>
    <tableColumn id="4" xr3:uid="{304FC04A-ABDD-45C1-87ED-5B5915A13A31}" name="Year 3"/>
    <tableColumn id="5" xr3:uid="{9B2E9379-79F3-41AF-ABB8-0EF8694A647E}" name="Year 4"/>
    <tableColumn id="6" xr3:uid="{B3091187-39B7-41FF-87EF-1DC496241306}" name="Year 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FCF6E17-7988-4F1B-A971-3CFB8B783297}" name="Table10" displayName="Table10" ref="A7:G15" totalsRowShown="0" headerRowDxfId="96" dataDxfId="95">
  <autoFilter ref="A7:G15" xr:uid="{8FCF6E17-7988-4F1B-A971-3CFB8B783297}"/>
  <tableColumns count="7">
    <tableColumn id="1" xr3:uid="{4F93F63D-94E2-4E76-A643-E86E1BA25E83}" name="Metrics" dataDxfId="94"/>
    <tableColumn id="2" xr3:uid="{DBAC613B-7CB2-499A-B50B-EE3B2B925E4F}" name="Base Year" dataDxfId="93"/>
    <tableColumn id="3" xr3:uid="{8DE12103-E10A-45AD-B38E-8D071CD6D7F2}" name="Year 1" dataDxfId="92"/>
    <tableColumn id="4" xr3:uid="{40603C83-1560-426E-A366-5B46DC8A4C48}" name="Year 2" dataDxfId="91"/>
    <tableColumn id="5" xr3:uid="{028F0DC0-2444-4383-AFB5-DE65CDCC945F}" name="Year 3" dataDxfId="90"/>
    <tableColumn id="6" xr3:uid="{830C65F8-2BC6-41ED-84F5-D19C5A52C981}" name="Year 4" dataDxfId="89"/>
    <tableColumn id="7" xr3:uid="{79E69ED7-F7C8-487F-83D8-B282225EFA6C}" name="Year 5" dataDxfId="8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9365AFD-E214-4F82-A0D5-CA7A9F369AC1}" name="Table11" displayName="Table11" ref="A18:G24" totalsRowShown="0" headerRowDxfId="87" dataDxfId="86">
  <autoFilter ref="A18:G24" xr:uid="{69365AFD-E214-4F82-A0D5-CA7A9F369AC1}"/>
  <tableColumns count="7">
    <tableColumn id="1" xr3:uid="{50434B41-56C7-4337-9831-6EAD6D1A3D44}" name="Cash Flow" dataDxfId="85"/>
    <tableColumn id="2" xr3:uid="{3BE0DB4E-5B72-4923-B572-113B3EE742CE}" name="Base Year" dataDxfId="84"/>
    <tableColumn id="3" xr3:uid="{1A6082E6-7E1B-4FB3-A7AA-AE79CE62D94D}" name="Year 1" dataDxfId="83"/>
    <tableColumn id="4" xr3:uid="{773784E0-3891-40B9-A700-E6D202FA3CCE}" name="Year 2" dataDxfId="82"/>
    <tableColumn id="5" xr3:uid="{35C4B496-2E67-4327-A879-982B05A8119A}" name="Year 3" dataDxfId="81"/>
    <tableColumn id="6" xr3:uid="{8E98D441-439D-42F5-9138-666EE2F39B7F}" name="Year 4" dataDxfId="80"/>
    <tableColumn id="7" xr3:uid="{71EC9746-BD96-4D1E-B304-000F89DA8C26}" name="Year 5" dataDxfId="7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BC474D9-2BAA-41E9-95EA-79B3F79F0604}" name="Table27" displayName="Table27" ref="A1:B15" totalsRowShown="0">
  <autoFilter ref="A1:B15" xr:uid="{FBC474D9-2BAA-41E9-95EA-79B3F79F0604}"/>
  <tableColumns count="2">
    <tableColumn id="1" xr3:uid="{A86405C4-A9D9-495E-90C1-4F8D39871EBA}" name="Entry Exit  Cash Flow Bridge"/>
    <tableColumn id="2" xr3:uid="{77AC2D48-06EF-4CE3-9DB3-4A239FCEF194}" name="Value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CB2842E-CBCA-464A-AF0F-2F17FA4F8BB0}" name="Table34" displayName="Table34" ref="A18:G23" totalsRowShown="0" headerRowDxfId="78">
  <autoFilter ref="A18:G23" xr:uid="{CCB2842E-CBCA-464A-AF0F-2F17FA4F8BB0}"/>
  <tableColumns count="7">
    <tableColumn id="1" xr3:uid="{B9FE2490-D5E4-497F-A757-E0EC7F515C31}" name="Equity Returns"/>
    <tableColumn id="2" xr3:uid="{DBD259CB-AC94-4B24-B39F-954FFB324325}" name="Column1"/>
    <tableColumn id="3" xr3:uid="{D2CA7F79-2ABB-452B-B809-F5A86E2BEB57}" name="Year 1"/>
    <tableColumn id="4" xr3:uid="{0CF40708-5065-4FD7-99EB-E677A5374B39}" name="Year 2"/>
    <tableColumn id="5" xr3:uid="{98222FE9-A7B7-4A6B-85D6-E6D021C98DF3}" name="Year 3"/>
    <tableColumn id="6" xr3:uid="{71C218A3-055F-48DA-98C2-D4D48E5062B7}" name="Year 4"/>
    <tableColumn id="7" xr3:uid="{F37FC5DF-4C1A-436B-8F2E-BDD2E8A83DA9}" name="Year 5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DC5CD13-7A3C-4460-9B2C-F89837F022D1}" name="Table35" displayName="Table35" ref="A27:F28" totalsRowShown="0">
  <autoFilter ref="A27:F28" xr:uid="{5DC5CD13-7A3C-4460-9B2C-F89837F022D1}"/>
  <tableColumns count="6">
    <tableColumn id="1" xr3:uid="{3A5D8469-D634-4BAF-8A93-87ED572CB667}" name="Exit Multiples"/>
    <tableColumn id="2" xr3:uid="{3576054B-6829-4077-A722-E626AFA866AE}" name="6.5" dataDxfId="77"/>
    <tableColumn id="3" xr3:uid="{69A0EBAB-FBA9-43A1-8180-76F0779210A9}" name="7" dataDxfId="76"/>
    <tableColumn id="4" xr3:uid="{ABBB0AAB-EDFA-4280-BB7A-ABE8064C1600}" name="7.5" dataDxfId="75"/>
    <tableColumn id="5" xr3:uid="{EE656C2A-D956-438B-87CB-B8C65222D22C}" name="8" dataDxfId="74"/>
    <tableColumn id="6" xr3:uid="{F6D40C16-04AD-4D90-9A00-5E55E4A484B2}" name="8.5" dataDxfId="7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04CF5A3-CA18-4B08-B886-E15B5BC5476C}" name="Table36" displayName="Table36" ref="A32:D35" totalsRowShown="0">
  <autoFilter ref="A32:D35" xr:uid="{704CF5A3-CA18-4B08-B886-E15B5BC5476C}"/>
  <tableColumns count="4">
    <tableColumn id="1" xr3:uid="{D255F34F-F81D-4655-8B84-7856F06E0724}" name="Debt/ Equity"/>
    <tableColumn id="2" xr3:uid="{C3014580-1DB3-47AC-8EA9-004D8758A916}" name="60/40"/>
    <tableColumn id="3" xr3:uid="{0AA153AD-7BEB-49C4-B867-C2375177D4B8}" name="65/35"/>
    <tableColumn id="4" xr3:uid="{1D7D76E2-BC1F-4E1A-9600-715A43C5B239}" name="70/3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FFD8CE3-75FA-4008-A0F0-C528FEA6D900}" name="Table37" displayName="Table37" ref="A3:A7" totalsRowShown="0">
  <autoFilter ref="A3:A7" xr:uid="{AFFD8CE3-75FA-4008-A0F0-C528FEA6D900}"/>
  <tableColumns count="1">
    <tableColumn id="1" xr3:uid="{A5C87C28-BED2-4812-A93D-2D0FDF870F81}" name="Peer Group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8DDD666-7449-48B6-B7CF-EAECD6709DDB}" name="Table38" displayName="Table38" ref="A11:B14" totalsRowShown="0">
  <autoFilter ref="A11:B14" xr:uid="{B8DDD666-7449-48B6-B7CF-EAECD6709DDB}"/>
  <tableColumns count="2">
    <tableColumn id="1" xr3:uid="{EC5836ED-A94E-4A23-A2AA-C2284DADFD16}" name="EV/ EBITDA"/>
    <tableColumn id="2" xr3:uid="{16D05D19-D893-41B4-8358-E0D5D1A04423}" name="Multiple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1CBA249-B008-4B5E-A1F6-EA1058B783E9}" name="Table39" displayName="Table39" ref="A17:B18" totalsRowShown="0">
  <autoFilter ref="A17:B18" xr:uid="{81CBA249-B008-4B5E-A1F6-EA1058B783E9}"/>
  <tableColumns count="2">
    <tableColumn id="1" xr3:uid="{30F035E7-A935-46E7-9481-FD6C3604EC95}" name="Item"/>
    <tableColumn id="2" xr3:uid="{F61E85EE-D5C3-4CC7-8E3E-B515B5258C13}" name="Valu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336FCAF-B9AB-4C19-BC7A-69A33EB25158}" name="Table40" displayName="Table40" ref="A21:C24" totalsRowShown="0">
  <autoFilter ref="A21:C24" xr:uid="{E336FCAF-B9AB-4C19-BC7A-69A33EB25158}"/>
  <tableColumns count="3">
    <tableColumn id="1" xr3:uid="{7FCF0E6E-F905-4618-912D-AEE6A1F0B4ED}" name="Muliple Case"/>
    <tableColumn id="2" xr3:uid="{F6764924-C62B-48F8-AD98-6E39E5C9C527}" name="EV/ EBITDA">
      <calculatedColumnFormula>B12</calculatedColumnFormula>
    </tableColumn>
    <tableColumn id="3" xr3:uid="{C4A27678-EBEE-4E26-A429-6BCDEFEB9F8C}" name="Enterprise Valu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186137C-0F6A-450B-BF5A-3792C0767CA7}" name="Table41" displayName="Table41" ref="A27:D30" totalsRowShown="0">
  <autoFilter ref="A27:D30" xr:uid="{4186137C-0F6A-450B-BF5A-3792C0767CA7}"/>
  <tableColumns count="4">
    <tableColumn id="1" xr3:uid="{60D9CE17-BC38-4133-8BB6-4072578D3AD1}" name="Item"/>
    <tableColumn id="2" xr3:uid="{32EA4EA5-4D05-460B-BA6C-D5ED808DB1A0}" name="Low"/>
    <tableColumn id="3" xr3:uid="{3BB2DBFF-12D7-4E0A-9BA1-AD8C16E5E64C}" name="Median" dataDxfId="72"/>
    <tableColumn id="4" xr3:uid="{17D93258-5AD3-4BC7-9DB8-082A09F6302D}" name="High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D2409B5-CADD-4BEE-AB5C-6B82F0B2947F}" name="Table42" displayName="Table42" ref="A15:B20" totalsRowShown="0">
  <autoFilter ref="A15:B20" xr:uid="{5D2409B5-CADD-4BEE-AB5C-6B82F0B2947F}"/>
  <tableColumns count="2">
    <tableColumn id="1" xr3:uid="{FB3BAA83-7EBF-4590-A68A-9789BCD1DAFE}" name="Year"/>
    <tableColumn id="2" xr3:uid="{3AA17548-C0CA-4F65-90F8-CB6AB9106E32}" name="UFCF" dataDxfId="7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3E08E486-6A8E-4D5E-BED0-A149A489CACD}" name="Table43" displayName="Table43" ref="A22:B26" totalsRowShown="0">
  <autoFilter ref="A22:B26" xr:uid="{3E08E486-6A8E-4D5E-BED0-A149A489CACD}"/>
  <tableColumns count="2">
    <tableColumn id="1" xr3:uid="{F845CE43-2D6E-4D42-B6B0-97A5CCA4E19F}" name="DCF Component"/>
    <tableColumn id="2" xr3:uid="{9B13E748-FDDA-42AE-9187-FCA83181874E}" name="Value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710C0B8-C0D1-427E-97AA-2765A46372B3}" name="Table44" displayName="Table44" ref="A28:B31" totalsRowShown="0">
  <autoFilter ref="A28:B31" xr:uid="{0710C0B8-C0D1-427E-97AA-2765A46372B3}"/>
  <tableColumns count="2">
    <tableColumn id="1" xr3:uid="{08F359B2-F010-46FF-B7B3-D4602CA315FC}" name="Equity Value Bridge"/>
    <tableColumn id="2" xr3:uid="{F9133AC0-7CEA-4C0E-9878-EECF40538BA9}" name="Valu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97A93B7C-D514-444D-989C-B2ECEDBFDA50}" name="Table45" displayName="Table45" ref="A33:D37" totalsRowShown="0" headerRowDxfId="70">
  <autoFilter ref="A33:D37" xr:uid="{97A93B7C-D514-444D-989C-B2ECEDBFDA50}"/>
  <tableColumns count="4">
    <tableColumn id="1" xr3:uid="{D7166101-9AF4-4F96-850A-54A495B3943F}" name="Implied Value Range" dataDxfId="69"/>
    <tableColumn id="2" xr3:uid="{D3619A8D-76CE-45E0-BCC7-140633BE762F}" name="1.50%"/>
    <tableColumn id="3" xr3:uid="{6BA9CCC3-71B2-43C9-8411-BBDC2DEA2285}" name="2.00%"/>
    <tableColumn id="4" xr3:uid="{0F7FE241-9D27-4DF1-9A14-71EB00F05230}" name="2.50%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4BC170D-764F-47AB-BE98-7F52D3BE2B45}" name="Table12" displayName="Table12" ref="A3:E27" totalsRowShown="0" headerRowDxfId="68" dataDxfId="67">
  <autoFilter ref="A3:E27" xr:uid="{34BC170D-764F-47AB-BE98-7F52D3BE2B45}"/>
  <tableColumns count="5">
    <tableColumn id="1" xr3:uid="{4ADBBA76-5431-4F5E-9A58-399CA679965D}" name="Metrics" dataDxfId="66"/>
    <tableColumn id="2" xr3:uid="{C17D7ECF-E2AD-4A30-9CBB-58507195EABC}" name="ADT inc" dataDxfId="65"/>
    <tableColumn id="3" xr3:uid="{284DB521-847A-4AAA-B64B-921CCA113107}" name="Arlo Technologies" dataDxfId="64"/>
    <tableColumn id="4" xr3:uid="{02D2F8F8-883D-489A-A21A-842843A92066}" name="Alarm.com" dataDxfId="63"/>
    <tableColumn id="5" xr3:uid="{755A8527-0595-450B-AEB2-1B90E8EB5AB1}" name="Resideo Technologies" dataDxfId="62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563CD94-4087-4B79-A29E-D87296431B7F}" name="Table16" displayName="Table16" ref="A31:D33" totalsRowShown="0" headerRowDxfId="61" dataDxfId="60">
  <autoFilter ref="A31:D33" xr:uid="{1563CD94-4087-4B79-A29E-D87296431B7F}"/>
  <tableColumns count="4">
    <tableColumn id="1" xr3:uid="{76F63460-0741-4927-B208-E46B1477A5BF}" name="Metrics" dataDxfId="59"/>
    <tableColumn id="2" xr3:uid="{C1CD56F6-C761-4199-94A1-FC3CDD3A1694}" name="Minimun" dataDxfId="58"/>
    <tableColumn id="3" xr3:uid="{F4F99B1F-1221-4690-98AC-88E1EF1FDA6B}" name="Median" dataDxfId="57"/>
    <tableColumn id="4" xr3:uid="{5B41843A-45B5-4BEF-A29D-9BE6463607C3}" name="Maximum" dataDxfId="56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5B34E74-3AE7-458F-A4CD-1357369D2FEC}" name="Table17" displayName="Table17" ref="A35:B47" totalsRowShown="0" dataDxfId="55">
  <autoFilter ref="A35:B47" xr:uid="{25B34E74-3AE7-458F-A4CD-1357369D2FEC}"/>
  <tableColumns count="2">
    <tableColumn id="1" xr3:uid="{09F7D8C7-1058-462B-9111-87817DA86AB9}" name="ADT" dataDxfId="54"/>
    <tableColumn id="2" xr3:uid="{4FCE85DB-A890-4A9E-838D-205F8641D31C}" name="Values" dataDxfId="53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34B0F5A-3433-4514-B18C-54F1151DF092}" name="Table18" displayName="Table18" ref="A49:D55" totalsRowShown="0" dataDxfId="52">
  <autoFilter ref="A49:D55" xr:uid="{F34B0F5A-3433-4514-B18C-54F1151DF092}"/>
  <tableColumns count="4">
    <tableColumn id="1" xr3:uid="{25631F5E-E1B6-40D6-801C-F710903A435F}" name="Bridge to Equity" dataDxfId="51"/>
    <tableColumn id="2" xr3:uid="{3D379492-94FF-413C-96A0-299B1FACBD97}" name="Column1" dataDxfId="50"/>
    <tableColumn id="3" xr3:uid="{12801C38-3A57-4E2E-B8B7-D4ACE61DB34F}" name="Column2" dataDxfId="49"/>
    <tableColumn id="4" xr3:uid="{0BC723E6-4D8E-4AEF-B86E-86EDBCD028A5}" name="Column3" dataDxfId="48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FE07B12-68C2-41CB-ABFF-FA2C96C3E418}" name="Table19" displayName="Table19" ref="A59:B65" totalsRowShown="0">
  <autoFilter ref="A59:B65" xr:uid="{6FE07B12-68C2-41CB-ABFF-FA2C96C3E418}"/>
  <tableColumns count="2">
    <tableColumn id="1" xr3:uid="{74B92AF2-4F03-47BF-9676-786895DDBAC0}" name="Revenue Growth Assumptions"/>
    <tableColumn id="2" xr3:uid="{155A3AD2-5330-46AD-ABBA-D6EA18B2F062}" name="Values" dataDxfId="47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5432B50-C910-4C3F-AD31-55A6C3A81687}" name="Table21" displayName="Table21" ref="D60:E64" totalsRowShown="0">
  <autoFilter ref="D60:E64" xr:uid="{05432B50-C910-4C3F-AD31-55A6C3A81687}"/>
  <tableColumns count="2">
    <tableColumn id="1" xr3:uid="{98675AEF-5568-4124-9671-DCB3F9CB28D5}" name="Cash Flow Assumptions" dataDxfId="46"/>
    <tableColumn id="2" xr3:uid="{9373A6FF-6383-458D-9816-6B377A732EC9}" name="Values" dataDxfId="45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7D85759-58CA-412D-88F7-352FCA407A97}" name="Table22" displayName="Table22" ref="D66:E75" totalsRowShown="0">
  <autoFilter ref="D66:E75" xr:uid="{87D85759-58CA-412D-88F7-352FCA407A97}"/>
  <tableColumns count="2">
    <tableColumn id="1" xr3:uid="{459DB884-408A-43DD-AD5C-EC108CFF7A05}" name="Discount Rate Assumptions" dataDxfId="44"/>
    <tableColumn id="2" xr3:uid="{FBFBCA1E-32F5-4CA9-9FC4-0967A490188A}" name="Values" dataDxfId="43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8538445-097F-45A4-B879-B24769E06094}" name="Table23" displayName="Table23" ref="D77:E78" totalsRowShown="0">
  <autoFilter ref="D77:E78" xr:uid="{88538445-097F-45A4-B879-B24769E06094}"/>
  <tableColumns count="2">
    <tableColumn id="1" xr3:uid="{5BE84F88-CE5B-41A6-8776-B092975D50F9}" name="Terminal Growth Method" dataDxfId="42"/>
    <tableColumn id="2" xr3:uid="{B0850FD2-1EE8-4CA8-861C-1AC332F7C81A}" name="Values" dataDxfId="41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FDD9E94-5780-4CFE-BF31-C1A2F2758FC0}" name="Table24" displayName="Table24" ref="A84:G97" totalsRowShown="0" headerRowDxfId="40" dataDxfId="39">
  <autoFilter ref="A84:G97" xr:uid="{3FDD9E94-5780-4CFE-BF31-C1A2F2758FC0}"/>
  <tableColumns count="7">
    <tableColumn id="1" xr3:uid="{B71BF8FF-E9AB-49D4-BF8A-ABD155C4FE25}" name="Metrics" dataDxfId="38"/>
    <tableColumn id="2" xr3:uid="{169499A1-9536-427C-9788-F79984996426}" name="2025A"/>
    <tableColumn id="3" xr3:uid="{87AE58F4-FCCA-404F-8102-B8E644E57B76}" name="2026E" dataDxfId="37"/>
    <tableColumn id="4" xr3:uid="{5DC8116F-7667-4F48-9EDE-EB04221DAB4F}" name="2027E" dataDxfId="36"/>
    <tableColumn id="5" xr3:uid="{70320A1E-1E7E-4C8D-A529-B90E8F2D8C4E}" name="2028E" dataDxfId="35"/>
    <tableColumn id="6" xr3:uid="{4E024028-9E00-4A0B-AEE8-5A78CB2778C9}" name="2029E" dataDxfId="34"/>
    <tableColumn id="7" xr3:uid="{B725844F-AFDC-4763-BBC9-13F07BE4D39B}" name="2030E" dataDxfId="33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AC19633-C4CE-4548-A5E1-618AEE4147FC}" name="Table25" displayName="Table25" ref="A99:F107" totalsRowShown="0" headerRowDxfId="32" dataDxfId="31">
  <autoFilter ref="A99:F107" xr:uid="{3AC19633-C4CE-4548-A5E1-618AEE4147FC}"/>
  <tableColumns count="6">
    <tableColumn id="1" xr3:uid="{C0C5A5F3-588B-4800-AAE4-D0BB75BAECD5}" name="Metrics" dataDxfId="30"/>
    <tableColumn id="2" xr3:uid="{C294316C-B018-40A4-8DAE-22374E278D3D}" name="2026E" dataDxfId="29"/>
    <tableColumn id="3" xr3:uid="{E7D3A1AF-1EC8-4A5D-ABAB-52E183D717F4}" name="2027E" dataDxfId="28"/>
    <tableColumn id="4" xr3:uid="{1534718C-37F2-400F-B21B-02A633C8E728}" name="2028E" dataDxfId="27"/>
    <tableColumn id="5" xr3:uid="{F328169C-F4E1-4596-B0C2-6399E6C74812}" name="2029E" dataDxfId="26"/>
    <tableColumn id="6" xr3:uid="{A9C4E558-DC07-44F0-88EC-A7FE67AE6AF2}" name="2030E" dataDxfId="25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C2CA0F2-5B41-4E3E-9B18-D7545FABC1F8}" name="Table26" displayName="Table26" ref="A109:F115" totalsRowShown="0" headerRowDxfId="24">
  <autoFilter ref="A109:F115" xr:uid="{CC2CA0F2-5B41-4E3E-9B18-D7545FABC1F8}"/>
  <tableColumns count="6">
    <tableColumn id="1" xr3:uid="{C94A23E0-4768-4197-A084-52C21F3AD108}" name="Year" dataDxfId="23"/>
    <tableColumn id="2" xr3:uid="{EC2AEC94-959F-4669-8C8F-9437C0B0D894}" name="n" dataDxfId="22"/>
    <tableColumn id="3" xr3:uid="{8A165D67-D984-4290-B1B2-50771FA546DE}" name="Discount Factor" dataDxfId="21"/>
    <tableColumn id="4" xr3:uid="{F1B71D94-0E40-4B6A-BF0F-72739D43B5B9}" name="Calculated Discount Factor " dataDxfId="20"/>
    <tableColumn id="5" xr3:uid="{4149C374-57FE-4373-9028-AD51D6F410EC}" name="Unleverage FCF" dataDxfId="19"/>
    <tableColumn id="6" xr3:uid="{B4F8648C-807F-48F4-B06E-36E8DDF9A7D7}" name="Calculated PV of FCF" dataDxfId="18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F2C641B-4A8B-4744-923A-7CCF138FE2BE}" name="Table28" displayName="Table28" ref="A118:B126" totalsRowShown="0" dataDxfId="17">
  <autoFilter ref="A118:B126" xr:uid="{8F2C641B-4A8B-4744-923A-7CCF138FE2BE}"/>
  <tableColumns count="2">
    <tableColumn id="1" xr3:uid="{DC4F6E48-28AC-494C-8474-CDBAD284FFFB}" name="WAAC" dataDxfId="16"/>
    <tableColumn id="2" xr3:uid="{651CAB70-1674-48B4-930E-253B42867947}" name="7.50%" dataDxfId="15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DE77C79-74F5-439E-B67F-ADD2D3743AEF}" name="Table29" displayName="Table29" ref="A128:B143" totalsRowShown="0">
  <autoFilter ref="A128:B143" xr:uid="{9DE77C79-74F5-439E-B67F-ADD2D3743AEF}"/>
  <tableColumns count="2">
    <tableColumn id="1" xr3:uid="{B4BDBB72-A9B5-4F4A-8A62-AA1B870AAEB8}" name="Enterprise Value" dataDxfId="14"/>
    <tableColumn id="2" xr3:uid="{6EE56EE2-0F26-4B73-AC34-BC58B8CACC62}" name="Valu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E99D702-0E18-4024-9F3E-5957AD289692}" name="Table13" displayName="Table13" ref="G32:K41" totalsRowShown="0" headerRowDxfId="13">
  <autoFilter ref="G32:K41" xr:uid="{8E99D702-0E18-4024-9F3E-5957AD289692}"/>
  <tableColumns count="5">
    <tableColumn id="1" xr3:uid="{90A82DE3-6D9F-444A-A037-B987E4E4F7C9}" name="Metrics" dataDxfId="12"/>
    <tableColumn id="2" xr3:uid="{448CB0F6-638E-4067-9547-30C5BF87CF25}" name="ADT inc"/>
    <tableColumn id="3" xr3:uid="{ECAC7CF1-8973-49B8-9A47-6F76F2B38C76}" name="Arlo Technologies" dataDxfId="11"/>
    <tableColumn id="4" xr3:uid="{39530421-B66D-437C-B6B2-462ADD9EDC12}" name="Alarm.com"/>
    <tableColumn id="5" xr3:uid="{BF9B6B12-5844-468E-B586-93F3D4C2E761}" name="Resideo Technologies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235126F-CEF5-44C7-84AB-9A1D0DBD7576}" name="Table14" displayName="Table14" ref="G51:I54" totalsRowShown="0" headerRowDxfId="10">
  <autoFilter ref="G51:I54" xr:uid="{5235126F-CEF5-44C7-84AB-9A1D0DBD7576}"/>
  <tableColumns count="3">
    <tableColumn id="1" xr3:uid="{B8F7EEF2-6627-4C89-8609-59D380071616}" name="Summary Statistics" dataDxfId="9"/>
    <tableColumn id="2" xr3:uid="{8378ACA5-34A6-459D-AE44-0C5F037FD289}" name="EV/ Revenue" dataDxfId="8"/>
    <tableColumn id="3" xr3:uid="{76E954FD-559D-4C21-A0B7-B79337874B79}" name="EV/ EBITDA" dataDxfId="7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DD19B78-50AD-41FB-9053-E6BD85560D2F}" name="Table46" displayName="Table46" ref="G44:K47" totalsRowShown="0" headerRowDxfId="6" dataDxfId="5">
  <autoFilter ref="G44:K47" xr:uid="{BDD19B78-50AD-41FB-9053-E6BD85560D2F}"/>
  <tableColumns count="5">
    <tableColumn id="1" xr3:uid="{F5F6406A-B3B2-42BA-94FE-CBFE687E57F1}" name="Metrics" dataDxfId="4"/>
    <tableColumn id="2" xr3:uid="{03EEE61B-A1C9-4F78-ACF3-E1A49E71E9BA}" name="Values" dataDxfId="3"/>
    <tableColumn id="3" xr3:uid="{7E3C6DA4-8A32-496B-8877-1089ECCE8CB8}" name="Values2" dataDxfId="2"/>
    <tableColumn id="4" xr3:uid="{6B5D9C19-B60E-4C00-85DB-5D04342966C0}" name="Values3" dataDxfId="1"/>
    <tableColumn id="5" xr3:uid="{06FECD36-A05A-4623-80C6-7E4D92E15B3A}" name="Values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Relationship Id="rId4" Type="http://schemas.openxmlformats.org/officeDocument/2006/relationships/table" Target="../tables/table2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Relationship Id="rId5" Type="http://schemas.openxmlformats.org/officeDocument/2006/relationships/table" Target="../tables/table30.xml"/><Relationship Id="rId4" Type="http://schemas.openxmlformats.org/officeDocument/2006/relationships/table" Target="../tables/table2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Relationship Id="rId4" Type="http://schemas.openxmlformats.org/officeDocument/2006/relationships/table" Target="../tables/table34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2.xml"/><Relationship Id="rId13" Type="http://schemas.openxmlformats.org/officeDocument/2006/relationships/table" Target="../tables/table47.xml"/><Relationship Id="rId3" Type="http://schemas.openxmlformats.org/officeDocument/2006/relationships/table" Target="../tables/table37.xml"/><Relationship Id="rId7" Type="http://schemas.openxmlformats.org/officeDocument/2006/relationships/table" Target="../tables/table41.xml"/><Relationship Id="rId12" Type="http://schemas.openxmlformats.org/officeDocument/2006/relationships/table" Target="../tables/table46.xml"/><Relationship Id="rId2" Type="http://schemas.openxmlformats.org/officeDocument/2006/relationships/table" Target="../tables/table36.xml"/><Relationship Id="rId16" Type="http://schemas.openxmlformats.org/officeDocument/2006/relationships/table" Target="../tables/table50.xml"/><Relationship Id="rId1" Type="http://schemas.openxmlformats.org/officeDocument/2006/relationships/table" Target="../tables/table35.xml"/><Relationship Id="rId6" Type="http://schemas.openxmlformats.org/officeDocument/2006/relationships/table" Target="../tables/table40.xml"/><Relationship Id="rId11" Type="http://schemas.openxmlformats.org/officeDocument/2006/relationships/table" Target="../tables/table45.xml"/><Relationship Id="rId5" Type="http://schemas.openxmlformats.org/officeDocument/2006/relationships/table" Target="../tables/table39.xml"/><Relationship Id="rId15" Type="http://schemas.openxmlformats.org/officeDocument/2006/relationships/table" Target="../tables/table49.xml"/><Relationship Id="rId10" Type="http://schemas.openxmlformats.org/officeDocument/2006/relationships/table" Target="../tables/table44.xml"/><Relationship Id="rId4" Type="http://schemas.openxmlformats.org/officeDocument/2006/relationships/table" Target="../tables/table38.xml"/><Relationship Id="rId9" Type="http://schemas.openxmlformats.org/officeDocument/2006/relationships/table" Target="../tables/table43.xml"/><Relationship Id="rId14" Type="http://schemas.openxmlformats.org/officeDocument/2006/relationships/table" Target="../tables/table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H16" sqref="H16"/>
    </sheetView>
  </sheetViews>
  <sheetFormatPr defaultColWidth="11.125" defaultRowHeight="15" customHeight="1"/>
  <cols>
    <col min="1" max="1" width="42.5" customWidth="1"/>
    <col min="2" max="2" width="19.25" customWidth="1"/>
    <col min="3" max="3" width="10.5" customWidth="1"/>
    <col min="4" max="4" width="26.875" customWidth="1"/>
    <col min="5" max="26" width="10.5" customWidth="1"/>
  </cols>
  <sheetData>
    <row r="1" spans="1:5" ht="15.75" customHeight="1"/>
    <row r="2" spans="1:5" ht="15.75" customHeight="1">
      <c r="A2" s="15" t="s">
        <v>0</v>
      </c>
      <c r="B2" s="15" t="s">
        <v>1</v>
      </c>
      <c r="D2" t="s">
        <v>2</v>
      </c>
      <c r="E2" t="s">
        <v>1</v>
      </c>
    </row>
    <row r="3" spans="1:5" ht="15.75" customHeight="1">
      <c r="A3" s="15" t="s">
        <v>3</v>
      </c>
      <c r="B3" s="19" t="s">
        <v>4</v>
      </c>
      <c r="D3" t="s">
        <v>5</v>
      </c>
      <c r="E3" s="20"/>
    </row>
    <row r="4" spans="1:5" ht="15.75" customHeight="1">
      <c r="A4" s="15" t="s">
        <v>6</v>
      </c>
      <c r="B4" s="19" t="s">
        <v>7</v>
      </c>
      <c r="D4" t="s">
        <v>8</v>
      </c>
      <c r="E4" s="20">
        <v>2650</v>
      </c>
    </row>
    <row r="5" spans="1:5" ht="15.75" customHeight="1">
      <c r="A5" s="15" t="s">
        <v>9</v>
      </c>
      <c r="B5" s="19" t="s">
        <v>10</v>
      </c>
      <c r="E5" s="20"/>
    </row>
    <row r="6" spans="1:5" ht="15.75" customHeight="1">
      <c r="A6" s="15" t="s">
        <v>11</v>
      </c>
      <c r="B6" s="19" t="s">
        <v>12</v>
      </c>
      <c r="D6" t="s">
        <v>13</v>
      </c>
      <c r="E6" s="21">
        <v>0.12</v>
      </c>
    </row>
    <row r="7" spans="1:5" ht="15.75" customHeight="1">
      <c r="A7" s="15" t="s">
        <v>14</v>
      </c>
      <c r="B7" s="19" t="s">
        <v>15</v>
      </c>
      <c r="D7" t="s">
        <v>16</v>
      </c>
      <c r="E7" s="22">
        <v>1.7500000000000002E-2</v>
      </c>
    </row>
    <row r="8" spans="1:5" ht="15.75" customHeight="1"/>
    <row r="9" spans="1:5" ht="15.75" customHeight="1"/>
    <row r="10" spans="1:5" ht="15.75" customHeight="1">
      <c r="A10" t="s">
        <v>17</v>
      </c>
      <c r="B10" t="s">
        <v>1</v>
      </c>
      <c r="D10" t="s">
        <v>18</v>
      </c>
      <c r="E10" t="s">
        <v>1</v>
      </c>
    </row>
    <row r="11" spans="1:5" ht="15.75" customHeight="1">
      <c r="A11" t="s">
        <v>19</v>
      </c>
      <c r="D11" t="s">
        <v>20</v>
      </c>
    </row>
    <row r="12" spans="1:5" ht="15.75" customHeight="1">
      <c r="A12" t="s">
        <v>21</v>
      </c>
      <c r="D12" t="s">
        <v>22</v>
      </c>
    </row>
    <row r="13" spans="1:5" ht="15.75" customHeight="1">
      <c r="A13" t="s">
        <v>23</v>
      </c>
      <c r="D13" t="s">
        <v>24</v>
      </c>
    </row>
    <row r="14" spans="1:5" ht="15.75" customHeight="1">
      <c r="A14" t="s">
        <v>25</v>
      </c>
      <c r="D14" t="s">
        <v>26</v>
      </c>
    </row>
    <row r="15" spans="1:5" ht="15.75" customHeight="1">
      <c r="A15" t="s">
        <v>27</v>
      </c>
      <c r="D15" t="s">
        <v>28</v>
      </c>
    </row>
    <row r="16" spans="1:5" ht="15.75" customHeight="1">
      <c r="A16" t="s">
        <v>29</v>
      </c>
    </row>
    <row r="17" spans="1:1" ht="15.75" customHeight="1">
      <c r="A17" t="s">
        <v>30</v>
      </c>
    </row>
    <row r="18" spans="1:1" ht="15.75" customHeight="1"/>
    <row r="19" spans="1:1" ht="15.75" customHeight="1"/>
    <row r="20" spans="1:1" ht="15.75" customHeight="1"/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1"/>
  <sheetViews>
    <sheetView workbookViewId="0">
      <selection activeCell="C14" sqref="C14"/>
    </sheetView>
  </sheetViews>
  <sheetFormatPr defaultColWidth="11.125" defaultRowHeight="15" customHeight="1"/>
  <cols>
    <col min="1" max="1" width="28.625" customWidth="1"/>
    <col min="2" max="2" width="17.25" customWidth="1"/>
    <col min="3" max="3" width="10.5" customWidth="1"/>
    <col min="4" max="4" width="22.75" customWidth="1"/>
    <col min="5" max="26" width="10.5" customWidth="1"/>
  </cols>
  <sheetData>
    <row r="1" spans="1:5" ht="15.75" customHeight="1">
      <c r="A1" s="15" t="s">
        <v>3</v>
      </c>
      <c r="B1" s="15" t="s">
        <v>4</v>
      </c>
    </row>
    <row r="2" spans="1:5" ht="15.75" customHeight="1">
      <c r="A2" s="15" t="s">
        <v>6</v>
      </c>
      <c r="B2" s="15" t="s">
        <v>7</v>
      </c>
    </row>
    <row r="3" spans="1:5" ht="15.75" customHeight="1">
      <c r="A3" s="15" t="s">
        <v>9</v>
      </c>
      <c r="B3" s="15" t="s">
        <v>10</v>
      </c>
    </row>
    <row r="4" spans="1:5" ht="15.75" customHeight="1">
      <c r="A4" s="15" t="s">
        <v>11</v>
      </c>
      <c r="B4" s="15" t="s">
        <v>12</v>
      </c>
    </row>
    <row r="5" spans="1:5" ht="15.75" customHeight="1">
      <c r="A5" s="15" t="s">
        <v>14</v>
      </c>
      <c r="B5" s="15" t="s">
        <v>15</v>
      </c>
    </row>
    <row r="6" spans="1:5" ht="15.75" customHeight="1"/>
    <row r="7" spans="1:5" ht="15.75" customHeight="1">
      <c r="A7" s="1" t="s">
        <v>31</v>
      </c>
      <c r="B7" t="s">
        <v>1</v>
      </c>
      <c r="D7" t="s">
        <v>32</v>
      </c>
      <c r="E7" t="s">
        <v>1</v>
      </c>
    </row>
    <row r="8" spans="1:5" ht="15.75" customHeight="1">
      <c r="A8" s="1" t="s">
        <v>33</v>
      </c>
      <c r="B8" s="1">
        <v>3800</v>
      </c>
      <c r="D8" s="1" t="s">
        <v>34</v>
      </c>
      <c r="E8" s="1">
        <v>6900</v>
      </c>
    </row>
    <row r="9" spans="1:5" ht="15.75" customHeight="1">
      <c r="A9" s="1" t="s">
        <v>35</v>
      </c>
      <c r="B9" s="1">
        <v>0</v>
      </c>
      <c r="D9" s="1" t="s">
        <v>36</v>
      </c>
      <c r="E9" s="1">
        <v>1200</v>
      </c>
    </row>
    <row r="10" spans="1:5" ht="15.75" customHeight="1">
      <c r="A10" s="1" t="s">
        <v>37</v>
      </c>
      <c r="B10" s="1">
        <v>4520</v>
      </c>
      <c r="D10" s="1" t="s">
        <v>38</v>
      </c>
      <c r="E10" s="1">
        <v>100</v>
      </c>
    </row>
    <row r="11" spans="1:5" ht="15.75" customHeight="1">
      <c r="A11" s="1" t="s">
        <v>39</v>
      </c>
      <c r="B11" s="1">
        <f>B10+B8</f>
        <v>8320</v>
      </c>
      <c r="D11" s="1" t="s">
        <v>40</v>
      </c>
      <c r="E11" s="1">
        <v>120</v>
      </c>
    </row>
    <row r="12" spans="1:5" ht="15.75" customHeight="1">
      <c r="D12" s="1" t="s">
        <v>41</v>
      </c>
      <c r="E12" s="1">
        <f>SUM(E8:E11)</f>
        <v>8320</v>
      </c>
    </row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1BBC-6C97-45BE-A9E6-EAC3DDE9080B}">
  <dimension ref="A2:E32"/>
  <sheetViews>
    <sheetView tabSelected="1" workbookViewId="0">
      <selection activeCell="D26" sqref="D26:E32"/>
    </sheetView>
  </sheetViews>
  <sheetFormatPr defaultRowHeight="15.75"/>
  <cols>
    <col min="1" max="1" width="32.75" customWidth="1"/>
    <col min="2" max="2" width="10.875" bestFit="1" customWidth="1"/>
    <col min="4" max="4" width="26.625" customWidth="1"/>
    <col min="7" max="7" width="23.25" customWidth="1"/>
  </cols>
  <sheetData>
    <row r="2" spans="1:5">
      <c r="A2" t="s">
        <v>42</v>
      </c>
      <c r="B2" t="s">
        <v>1</v>
      </c>
    </row>
    <row r="3" spans="1:5">
      <c r="A3" t="s">
        <v>43</v>
      </c>
      <c r="B3">
        <v>2017</v>
      </c>
      <c r="D3" s="1" t="s">
        <v>44</v>
      </c>
      <c r="E3" t="s">
        <v>1</v>
      </c>
    </row>
    <row r="4" spans="1:5">
      <c r="A4" t="s">
        <v>45</v>
      </c>
      <c r="B4">
        <v>2022</v>
      </c>
      <c r="D4" s="1" t="s">
        <v>46</v>
      </c>
      <c r="E4" s="3">
        <v>0.03</v>
      </c>
    </row>
    <row r="5" spans="1:5">
      <c r="A5" t="s">
        <v>47</v>
      </c>
      <c r="B5" t="s">
        <v>15</v>
      </c>
      <c r="D5" s="1" t="s">
        <v>48</v>
      </c>
      <c r="E5" s="1">
        <v>921</v>
      </c>
    </row>
    <row r="6" spans="1:5">
      <c r="D6" s="1" t="s">
        <v>48</v>
      </c>
      <c r="E6" s="4">
        <f>E5/'Trasaction &amp; Operating Assump,'!E30*100%</f>
        <v>0.25769445998880808</v>
      </c>
    </row>
    <row r="7" spans="1:5">
      <c r="A7" t="s">
        <v>32</v>
      </c>
      <c r="B7" t="s">
        <v>1</v>
      </c>
      <c r="D7" s="1" t="s">
        <v>49</v>
      </c>
      <c r="E7" s="1">
        <v>244</v>
      </c>
    </row>
    <row r="8" spans="1:5">
      <c r="A8" t="s">
        <v>50</v>
      </c>
    </row>
    <row r="9" spans="1:5">
      <c r="A9" t="s">
        <v>51</v>
      </c>
      <c r="D9" s="1" t="s">
        <v>52</v>
      </c>
      <c r="E9" t="s">
        <v>1</v>
      </c>
    </row>
    <row r="10" spans="1:5">
      <c r="D10" s="1" t="s">
        <v>53</v>
      </c>
      <c r="E10" s="5">
        <v>103</v>
      </c>
    </row>
    <row r="11" spans="1:5">
      <c r="A11" t="s">
        <v>54</v>
      </c>
      <c r="D11" s="1" t="s">
        <v>55</v>
      </c>
      <c r="E11" s="5">
        <v>9095</v>
      </c>
    </row>
    <row r="12" spans="1:5">
      <c r="A12" t="s">
        <v>56</v>
      </c>
      <c r="D12" s="1" t="s">
        <v>57</v>
      </c>
      <c r="E12" s="3">
        <v>0.25</v>
      </c>
    </row>
    <row r="13" spans="1:5">
      <c r="D13" s="1" t="s">
        <v>58</v>
      </c>
      <c r="E13" s="3">
        <v>0.01</v>
      </c>
    </row>
    <row r="14" spans="1:5">
      <c r="A14" t="s">
        <v>59</v>
      </c>
      <c r="B14" t="s">
        <v>1</v>
      </c>
    </row>
    <row r="15" spans="1:5">
      <c r="A15" t="s">
        <v>46</v>
      </c>
      <c r="B15" s="23">
        <v>0.03</v>
      </c>
      <c r="D15" s="1" t="s">
        <v>60</v>
      </c>
      <c r="E15" t="s">
        <v>1</v>
      </c>
    </row>
    <row r="16" spans="1:5">
      <c r="A16" t="s">
        <v>61</v>
      </c>
      <c r="B16" s="14">
        <v>0.25800000000000001</v>
      </c>
      <c r="D16" s="1" t="s">
        <v>19</v>
      </c>
      <c r="E16" s="1">
        <v>921</v>
      </c>
    </row>
    <row r="17" spans="1:5">
      <c r="A17" t="s">
        <v>62</v>
      </c>
      <c r="D17" s="1" t="s">
        <v>63</v>
      </c>
      <c r="E17" s="1">
        <v>3574</v>
      </c>
    </row>
    <row r="18" spans="1:5">
      <c r="A18" t="s">
        <v>64</v>
      </c>
      <c r="D18" s="1" t="s">
        <v>65</v>
      </c>
      <c r="E18" s="1">
        <f>E17/E16</f>
        <v>3.8805646036916395</v>
      </c>
    </row>
    <row r="20" spans="1:5">
      <c r="A20" t="s">
        <v>52</v>
      </c>
      <c r="B20" t="s">
        <v>1</v>
      </c>
      <c r="D20" s="1" t="s">
        <v>66</v>
      </c>
      <c r="E20" t="s">
        <v>1</v>
      </c>
    </row>
    <row r="21" spans="1:5">
      <c r="A21" t="s">
        <v>57</v>
      </c>
      <c r="B21" s="23">
        <v>0.25</v>
      </c>
      <c r="D21" s="1" t="s">
        <v>67</v>
      </c>
      <c r="E21" s="23">
        <v>0.03</v>
      </c>
    </row>
    <row r="22" spans="1:5">
      <c r="A22" t="s">
        <v>68</v>
      </c>
      <c r="B22" s="23">
        <v>0.03</v>
      </c>
      <c r="D22" s="1" t="s">
        <v>48</v>
      </c>
      <c r="E22" s="14">
        <v>0.25800000000000001</v>
      </c>
    </row>
    <row r="23" spans="1:5">
      <c r="A23" t="s">
        <v>69</v>
      </c>
      <c r="B23" s="14">
        <v>3.5000000000000003E-2</v>
      </c>
      <c r="D23" s="1" t="s">
        <v>70</v>
      </c>
      <c r="E23" s="1" t="s">
        <v>71</v>
      </c>
    </row>
    <row r="24" spans="1:5">
      <c r="A24" t="s">
        <v>72</v>
      </c>
      <c r="B24" s="23">
        <v>0.01</v>
      </c>
      <c r="D24" s="1" t="s">
        <v>28</v>
      </c>
      <c r="E24" s="1">
        <v>7.5</v>
      </c>
    </row>
    <row r="26" spans="1:5">
      <c r="A26" t="s">
        <v>73</v>
      </c>
      <c r="B26" t="s">
        <v>1</v>
      </c>
      <c r="D26" s="1" t="s">
        <v>74</v>
      </c>
      <c r="E26" s="1" t="s">
        <v>75</v>
      </c>
    </row>
    <row r="27" spans="1:5">
      <c r="A27" t="s">
        <v>76</v>
      </c>
      <c r="B27" s="14">
        <v>8.5000000000000006E-2</v>
      </c>
      <c r="D27" s="1" t="s">
        <v>77</v>
      </c>
      <c r="E27" s="1">
        <v>42</v>
      </c>
    </row>
    <row r="28" spans="1:5">
      <c r="A28" t="s">
        <v>78</v>
      </c>
      <c r="B28" s="23">
        <v>0.01</v>
      </c>
      <c r="D28" s="1" t="s">
        <v>79</v>
      </c>
      <c r="E28" s="1">
        <v>164</v>
      </c>
    </row>
    <row r="29" spans="1:5">
      <c r="A29" t="s">
        <v>80</v>
      </c>
      <c r="D29" s="1"/>
    </row>
    <row r="30" spans="1:5">
      <c r="D30" s="1" t="s">
        <v>81</v>
      </c>
      <c r="E30" s="1">
        <v>3574</v>
      </c>
    </row>
    <row r="31" spans="1:5">
      <c r="D31" s="1" t="s">
        <v>82</v>
      </c>
      <c r="E31" s="2">
        <v>1.4999999999999999E-2</v>
      </c>
    </row>
    <row r="32" spans="1:5">
      <c r="D32" s="1" t="s">
        <v>83</v>
      </c>
      <c r="E32" s="2">
        <v>0.02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4"/>
  <sheetViews>
    <sheetView workbookViewId="0">
      <selection sqref="A1:B5"/>
    </sheetView>
  </sheetViews>
  <sheetFormatPr defaultColWidth="11.125" defaultRowHeight="15" customHeight="1"/>
  <cols>
    <col min="1" max="1" width="36" customWidth="1"/>
    <col min="2" max="2" width="17.875" customWidth="1"/>
    <col min="3" max="26" width="10.5" customWidth="1"/>
  </cols>
  <sheetData>
    <row r="1" spans="1:7" ht="15.75" customHeight="1">
      <c r="A1" s="1" t="s">
        <v>3</v>
      </c>
      <c r="B1" s="1" t="s">
        <v>4</v>
      </c>
    </row>
    <row r="2" spans="1:7" ht="15.75" customHeight="1">
      <c r="A2" s="1" t="s">
        <v>6</v>
      </c>
      <c r="B2" s="1" t="s">
        <v>7</v>
      </c>
    </row>
    <row r="3" spans="1:7" ht="15.75" customHeight="1">
      <c r="A3" s="1" t="s">
        <v>9</v>
      </c>
      <c r="B3" s="1" t="s">
        <v>10</v>
      </c>
    </row>
    <row r="4" spans="1:7" ht="15.75" customHeight="1">
      <c r="A4" s="1" t="s">
        <v>11</v>
      </c>
      <c r="B4" s="1" t="s">
        <v>12</v>
      </c>
    </row>
    <row r="5" spans="1:7" ht="15.75" customHeight="1">
      <c r="A5" s="1" t="s">
        <v>14</v>
      </c>
      <c r="B5" s="1" t="s">
        <v>15</v>
      </c>
    </row>
    <row r="6" spans="1:7" ht="15.75" customHeight="1"/>
    <row r="7" spans="1:7" ht="15.75" customHeight="1">
      <c r="A7" t="s">
        <v>32</v>
      </c>
      <c r="B7" s="1" t="s">
        <v>84</v>
      </c>
      <c r="C7" s="1" t="s">
        <v>85</v>
      </c>
      <c r="D7" s="1" t="s">
        <v>86</v>
      </c>
      <c r="E7" s="1" t="s">
        <v>87</v>
      </c>
      <c r="F7" s="1" t="s">
        <v>88</v>
      </c>
      <c r="G7" s="1" t="s">
        <v>89</v>
      </c>
    </row>
    <row r="8" spans="1:7" ht="15.75" customHeight="1">
      <c r="A8" s="1" t="s">
        <v>90</v>
      </c>
      <c r="B8" s="11">
        <v>3574</v>
      </c>
      <c r="C8" s="11">
        <f t="shared" ref="C8:G8" si="0">B9*B8+B8</f>
        <v>3681.22</v>
      </c>
      <c r="D8" s="11">
        <f t="shared" si="0"/>
        <v>3791.6565999999998</v>
      </c>
      <c r="E8" s="11">
        <f t="shared" si="0"/>
        <v>3905.4062979999999</v>
      </c>
      <c r="F8" s="11">
        <f t="shared" si="0"/>
        <v>4022.5684869399997</v>
      </c>
      <c r="G8" s="11">
        <f t="shared" si="0"/>
        <v>4143.2455415482</v>
      </c>
    </row>
    <row r="9" spans="1:7" ht="15.75" customHeight="1">
      <c r="A9" s="1" t="s">
        <v>91</v>
      </c>
      <c r="B9" s="3">
        <v>0.03</v>
      </c>
      <c r="C9" s="3">
        <v>0.03</v>
      </c>
      <c r="D9" s="3">
        <v>0.03</v>
      </c>
      <c r="E9" s="3">
        <v>0.03</v>
      </c>
      <c r="F9" s="3">
        <v>0.03</v>
      </c>
      <c r="G9" s="3">
        <v>0.03</v>
      </c>
    </row>
    <row r="10" spans="1:7" ht="15.75" customHeight="1">
      <c r="A10" s="1" t="s">
        <v>92</v>
      </c>
      <c r="B10" s="7">
        <v>921</v>
      </c>
      <c r="C10" s="7">
        <f>C11*C8</f>
        <v>948.62999999999977</v>
      </c>
      <c r="D10" s="7">
        <f t="shared" ref="D10:G10" si="1">D11*D8</f>
        <v>977.08889999999997</v>
      </c>
      <c r="E10" s="7">
        <f t="shared" si="1"/>
        <v>1015.40563748</v>
      </c>
      <c r="F10" s="7">
        <f t="shared" si="1"/>
        <v>1053.91294357828</v>
      </c>
      <c r="G10" s="7">
        <f t="shared" si="1"/>
        <v>1093.8168229687249</v>
      </c>
    </row>
    <row r="11" spans="1:7" ht="15.75" customHeight="1">
      <c r="A11" s="1" t="s">
        <v>48</v>
      </c>
      <c r="B11" s="4">
        <f>B10/B8</f>
        <v>0.25769445998880808</v>
      </c>
      <c r="C11" s="4">
        <v>0.25769445998880802</v>
      </c>
      <c r="D11" s="4">
        <v>0.25769445998880808</v>
      </c>
      <c r="E11" s="2">
        <v>0.26</v>
      </c>
      <c r="F11" s="2">
        <v>0.26200000000000001</v>
      </c>
      <c r="G11" s="2">
        <v>0.26400000000000001</v>
      </c>
    </row>
    <row r="12" spans="1:7" ht="15.75" customHeight="1">
      <c r="A12" s="1" t="s">
        <v>93</v>
      </c>
      <c r="B12" s="24">
        <f>0.035*B8</f>
        <v>125.09000000000002</v>
      </c>
      <c r="C12" s="24">
        <f>0.035*C8</f>
        <v>128.84270000000001</v>
      </c>
      <c r="D12" s="24">
        <f t="shared" ref="D12:F12" si="2">0.035*D8</f>
        <v>132.70798100000002</v>
      </c>
      <c r="E12" s="24">
        <f t="shared" si="2"/>
        <v>136.68922043000001</v>
      </c>
      <c r="F12" s="24">
        <f t="shared" si="2"/>
        <v>140.78989704290001</v>
      </c>
      <c r="G12" s="24">
        <f>0.035*G8</f>
        <v>145.013593954187</v>
      </c>
    </row>
    <row r="13" spans="1:7" ht="15.75" customHeight="1">
      <c r="A13" s="1" t="s">
        <v>94</v>
      </c>
      <c r="B13" s="9">
        <v>3.5000000000000003E-2</v>
      </c>
      <c r="C13" s="9">
        <v>3.5000000000000003E-2</v>
      </c>
      <c r="D13" s="9">
        <v>3.5000000000000003E-2</v>
      </c>
      <c r="E13" s="9">
        <v>3.5000000000000003E-2</v>
      </c>
      <c r="F13" s="9">
        <v>3.5000000000000003E-2</v>
      </c>
      <c r="G13" s="9">
        <v>3.5000000000000003E-2</v>
      </c>
    </row>
    <row r="14" spans="1:7" ht="15.75" customHeight="1">
      <c r="A14" s="1" t="s">
        <v>95</v>
      </c>
      <c r="B14" s="24">
        <f t="shared" ref="B14:G14" si="3">B10-B12</f>
        <v>795.91</v>
      </c>
      <c r="C14" s="24">
        <f t="shared" si="3"/>
        <v>819.78729999999973</v>
      </c>
      <c r="D14" s="24">
        <f t="shared" si="3"/>
        <v>844.38091899999995</v>
      </c>
      <c r="E14" s="24">
        <f t="shared" si="3"/>
        <v>878.71641705000002</v>
      </c>
      <c r="F14" s="24">
        <f t="shared" si="3"/>
        <v>913.1230465353799</v>
      </c>
      <c r="G14" s="24">
        <f t="shared" si="3"/>
        <v>948.80322901453792</v>
      </c>
    </row>
    <row r="15" spans="1:7" ht="15.75" customHeight="1">
      <c r="A15" s="1" t="s">
        <v>96</v>
      </c>
      <c r="B15" s="10">
        <v>0.25</v>
      </c>
      <c r="C15" s="10">
        <v>0.25</v>
      </c>
      <c r="D15" s="10">
        <v>0.25</v>
      </c>
      <c r="E15" s="10">
        <v>0.25</v>
      </c>
      <c r="F15" s="10">
        <v>0.25</v>
      </c>
      <c r="G15" s="10">
        <v>0.25</v>
      </c>
    </row>
    <row r="16" spans="1:7" ht="15.75" customHeight="1">
      <c r="A16" s="1" t="s">
        <v>97</v>
      </c>
      <c r="B16" s="7">
        <f t="shared" ref="B16:G16" si="4">0.25*B14</f>
        <v>198.97749999999999</v>
      </c>
      <c r="C16" s="7">
        <f t="shared" si="4"/>
        <v>204.94682499999993</v>
      </c>
      <c r="D16" s="7">
        <f t="shared" si="4"/>
        <v>211.09522974999999</v>
      </c>
      <c r="E16" s="7">
        <f t="shared" si="4"/>
        <v>219.6791042625</v>
      </c>
      <c r="F16" s="7">
        <f t="shared" si="4"/>
        <v>228.28076163384497</v>
      </c>
      <c r="G16" s="7">
        <f t="shared" si="4"/>
        <v>237.20080725363448</v>
      </c>
    </row>
    <row r="17" spans="1:7" ht="15.75" customHeight="1">
      <c r="A17" s="1" t="s">
        <v>98</v>
      </c>
      <c r="B17" s="24">
        <f>B14-B16</f>
        <v>596.9325</v>
      </c>
      <c r="C17" s="24">
        <f t="shared" ref="C17:G17" si="5">C14-C16</f>
        <v>614.84047499999974</v>
      </c>
      <c r="D17" s="24">
        <f t="shared" si="5"/>
        <v>633.2856892499999</v>
      </c>
      <c r="E17" s="24">
        <f t="shared" si="5"/>
        <v>659.03731278750001</v>
      </c>
      <c r="F17" s="24">
        <f t="shared" si="5"/>
        <v>684.84228490153487</v>
      </c>
      <c r="G17" s="24">
        <f t="shared" si="5"/>
        <v>711.60242176090344</v>
      </c>
    </row>
    <row r="18" spans="1:7" ht="15.75" customHeight="1">
      <c r="A18" s="1" t="s">
        <v>99</v>
      </c>
      <c r="B18" s="10">
        <v>0.03</v>
      </c>
      <c r="C18" s="10">
        <v>0.03</v>
      </c>
      <c r="D18" s="10">
        <v>0.03</v>
      </c>
      <c r="E18" s="10">
        <v>0.03</v>
      </c>
      <c r="F18" s="10">
        <v>0.03</v>
      </c>
      <c r="G18" s="10">
        <v>0.03</v>
      </c>
    </row>
    <row r="19" spans="1:7" ht="15.75" customHeight="1">
      <c r="A19" s="1" t="s">
        <v>100</v>
      </c>
      <c r="B19" s="7">
        <f>B18*B8</f>
        <v>107.22</v>
      </c>
      <c r="C19" s="7">
        <f t="shared" ref="C19:G19" si="6">C18*C8</f>
        <v>110.43659999999998</v>
      </c>
      <c r="D19" s="7">
        <f t="shared" si="6"/>
        <v>113.749698</v>
      </c>
      <c r="E19" s="7">
        <f t="shared" si="6"/>
        <v>117.16218893999999</v>
      </c>
      <c r="F19" s="7">
        <f t="shared" si="6"/>
        <v>120.67705460819998</v>
      </c>
      <c r="G19" s="7">
        <f t="shared" si="6"/>
        <v>124.29736624644599</v>
      </c>
    </row>
    <row r="20" spans="1:7" ht="15.75" customHeight="1">
      <c r="A20" s="1" t="s">
        <v>101</v>
      </c>
      <c r="B20" s="7"/>
      <c r="C20" s="10">
        <v>0.01</v>
      </c>
      <c r="D20" s="10">
        <v>0.01</v>
      </c>
      <c r="E20" s="10">
        <v>0.01</v>
      </c>
      <c r="F20" s="10">
        <v>0.01</v>
      </c>
      <c r="G20" s="10">
        <v>0.01</v>
      </c>
    </row>
    <row r="21" spans="1:7" ht="15.75" customHeight="1">
      <c r="A21" s="1" t="s">
        <v>102</v>
      </c>
      <c r="B21" s="1"/>
      <c r="C21" s="1">
        <v>1.07</v>
      </c>
      <c r="D21" s="1">
        <v>1.1000000000000001</v>
      </c>
      <c r="E21" s="1">
        <v>1.1399999999999999</v>
      </c>
      <c r="F21" s="1">
        <v>1.17</v>
      </c>
      <c r="G21" s="1">
        <v>1.21</v>
      </c>
    </row>
    <row r="22" spans="1:7" ht="15.75" customHeight="1">
      <c r="A22" s="1" t="s">
        <v>103</v>
      </c>
      <c r="B22" s="1"/>
      <c r="C22" s="7">
        <f>C17+C12-C19-C21</f>
        <v>632.17657499999973</v>
      </c>
      <c r="D22" s="7">
        <f t="shared" ref="D22:G22" si="7">D17+D12-D19-D21</f>
        <v>651.14397224999993</v>
      </c>
      <c r="E22" s="7">
        <f t="shared" si="7"/>
        <v>677.42434427750004</v>
      </c>
      <c r="F22" s="7">
        <f t="shared" si="7"/>
        <v>703.78512733623495</v>
      </c>
      <c r="G22" s="7">
        <f t="shared" si="7"/>
        <v>731.10864946864444</v>
      </c>
    </row>
    <row r="23" spans="1:7" ht="15.75" customHeight="1">
      <c r="A23" s="1"/>
      <c r="B23" s="1"/>
      <c r="C23" s="1"/>
      <c r="D23" s="1"/>
      <c r="E23" s="1"/>
      <c r="F23" s="1"/>
      <c r="G23" s="1"/>
    </row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spans="3:4" ht="15.75" customHeight="1"/>
    <row r="34" spans="3:4" ht="15.75" customHeight="1"/>
    <row r="35" spans="3:4" ht="15.75" customHeight="1"/>
    <row r="36" spans="3:4" ht="15.75" customHeight="1"/>
    <row r="37" spans="3:4" ht="15.75" customHeight="1"/>
    <row r="38" spans="3:4" ht="15.75" customHeight="1"/>
    <row r="39" spans="3:4" ht="15.75" customHeight="1"/>
    <row r="40" spans="3:4" ht="15.75" customHeight="1"/>
    <row r="41" spans="3:4" ht="15.75" customHeight="1"/>
    <row r="42" spans="3:4" ht="15.75" customHeight="1"/>
    <row r="43" spans="3:4" ht="15.75" customHeight="1"/>
    <row r="44" spans="3:4" ht="15.75" customHeight="1"/>
    <row r="45" spans="3:4" ht="15.75" customHeight="1"/>
    <row r="46" spans="3:4" ht="15.75" customHeight="1"/>
    <row r="47" spans="3:4" ht="15.75" customHeight="1"/>
    <row r="48" spans="3:4" ht="15.75" customHeight="1">
      <c r="C48" s="1" t="s">
        <v>104</v>
      </c>
      <c r="D48" t="s">
        <v>1</v>
      </c>
    </row>
    <row r="49" spans="3:4" ht="15.75" customHeight="1">
      <c r="C49" s="1" t="s">
        <v>37</v>
      </c>
      <c r="D49" s="3">
        <v>0.45</v>
      </c>
    </row>
    <row r="50" spans="3:4" ht="15.75" customHeight="1">
      <c r="C50" s="1" t="s">
        <v>105</v>
      </c>
      <c r="D50" s="3">
        <v>0.55000000000000004</v>
      </c>
    </row>
    <row r="51" spans="3:4" ht="15.75" customHeight="1"/>
    <row r="52" spans="3:4" ht="15.75" customHeight="1"/>
    <row r="53" spans="3:4" ht="15.75" customHeight="1"/>
    <row r="54" spans="3:4" ht="15.75" customHeight="1"/>
    <row r="55" spans="3:4" ht="15.75" customHeight="1"/>
    <row r="56" spans="3:4" ht="15.75" customHeight="1"/>
    <row r="57" spans="3:4" ht="15.75" customHeight="1"/>
    <row r="58" spans="3:4" ht="15.75" customHeight="1"/>
    <row r="59" spans="3:4" ht="15.75" customHeight="1"/>
    <row r="60" spans="3:4" ht="15.75" customHeight="1"/>
    <row r="61" spans="3:4" ht="15.75" customHeight="1"/>
    <row r="62" spans="3:4" ht="15.75" customHeight="1"/>
    <row r="63" spans="3:4" ht="15.75" customHeight="1"/>
    <row r="64" spans="3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1"/>
  <sheetViews>
    <sheetView workbookViewId="0">
      <selection activeCell="A2" sqref="A2:B6"/>
    </sheetView>
  </sheetViews>
  <sheetFormatPr defaultColWidth="11.125" defaultRowHeight="15" customHeight="1"/>
  <cols>
    <col min="1" max="1" width="32.625" customWidth="1"/>
    <col min="2" max="26" width="10.5" customWidth="1"/>
  </cols>
  <sheetData>
    <row r="1" spans="1:6" ht="15.75" customHeight="1"/>
    <row r="2" spans="1:6" ht="15.75" customHeight="1">
      <c r="A2" s="15" t="s">
        <v>3</v>
      </c>
      <c r="B2" s="15" t="s">
        <v>4</v>
      </c>
    </row>
    <row r="3" spans="1:6" ht="15.75" customHeight="1">
      <c r="A3" s="15" t="s">
        <v>6</v>
      </c>
      <c r="B3" s="15" t="s">
        <v>7</v>
      </c>
    </row>
    <row r="4" spans="1:6" ht="15.75" customHeight="1">
      <c r="A4" s="15" t="s">
        <v>9</v>
      </c>
      <c r="B4" s="15" t="s">
        <v>10</v>
      </c>
    </row>
    <row r="5" spans="1:6" ht="15.75" customHeight="1">
      <c r="A5" s="15" t="s">
        <v>11</v>
      </c>
      <c r="B5" s="15" t="s">
        <v>12</v>
      </c>
    </row>
    <row r="6" spans="1:6" ht="15.75" customHeight="1">
      <c r="A6" s="15" t="s">
        <v>14</v>
      </c>
      <c r="B6" s="15" t="s">
        <v>15</v>
      </c>
    </row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>
      <c r="A14" s="1" t="s">
        <v>32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</row>
    <row r="15" spans="1:6" ht="15.75" customHeight="1">
      <c r="A15" s="1" t="s">
        <v>106</v>
      </c>
      <c r="B15" s="26">
        <f>'Operating Model'!C22</f>
        <v>632.17657499999973</v>
      </c>
      <c r="C15" s="26">
        <f>'Operating Model'!D22</f>
        <v>651.14397224999993</v>
      </c>
      <c r="D15" s="26">
        <f>'Operating Model'!E22</f>
        <v>677.42434427750004</v>
      </c>
      <c r="E15" s="26">
        <f>'Operating Model'!F22</f>
        <v>703.78512733623495</v>
      </c>
      <c r="F15" s="26">
        <f>'Operating Model'!G22</f>
        <v>731.10864946864444</v>
      </c>
    </row>
    <row r="16" spans="1:6" ht="15.75" customHeight="1">
      <c r="A16" s="1" t="s">
        <v>107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ht="15.75" customHeight="1">
      <c r="A17" s="1" t="s">
        <v>108</v>
      </c>
      <c r="B17" s="26">
        <f>B15</f>
        <v>632.17657499999973</v>
      </c>
      <c r="C17" s="26">
        <f t="shared" ref="C17:F17" si="0">C15</f>
        <v>651.14397224999993</v>
      </c>
      <c r="D17" s="26">
        <f t="shared" si="0"/>
        <v>677.42434427750004</v>
      </c>
      <c r="E17" s="26">
        <f t="shared" si="0"/>
        <v>703.78512733623495</v>
      </c>
      <c r="F17" s="26">
        <f t="shared" si="0"/>
        <v>731.10864946864444</v>
      </c>
    </row>
    <row r="18" spans="1:6" ht="15.75" customHeight="1">
      <c r="A18" s="1" t="s">
        <v>109</v>
      </c>
      <c r="B18" s="23">
        <v>0.01</v>
      </c>
      <c r="C18" s="23">
        <v>0.01</v>
      </c>
      <c r="D18" s="23">
        <v>0.01</v>
      </c>
      <c r="E18" s="23">
        <v>0.01</v>
      </c>
      <c r="F18" s="23">
        <v>0.01</v>
      </c>
    </row>
    <row r="19" spans="1:6" ht="15.75" customHeight="1">
      <c r="A19" s="1" t="s">
        <v>110</v>
      </c>
      <c r="B19" s="25">
        <f>B18*'Operating Model'!C8</f>
        <v>36.812199999999997</v>
      </c>
      <c r="C19" s="25">
        <f>C18*'Operating Model'!D8</f>
        <v>37.916565999999996</v>
      </c>
      <c r="D19" s="25">
        <f>D18*'Operating Model'!E8</f>
        <v>39.054062979999998</v>
      </c>
      <c r="E19" s="25">
        <f>E18*'Operating Model'!F8</f>
        <v>40.225684869399998</v>
      </c>
      <c r="F19" s="25">
        <f>F18*'Operating Model'!G8</f>
        <v>41.432455415482004</v>
      </c>
    </row>
    <row r="20" spans="1:6" ht="15.75" customHeight="1">
      <c r="A20" t="s">
        <v>111</v>
      </c>
      <c r="B20" s="25">
        <f>'Debt Schedule'!C24</f>
        <v>633.24657499999989</v>
      </c>
      <c r="C20" s="25">
        <f>'Debt Schedule'!D24</f>
        <v>652.23397224999997</v>
      </c>
      <c r="D20" s="25">
        <f>'Debt Schedule'!E24</f>
        <v>678.55434427750004</v>
      </c>
      <c r="E20" s="25">
        <f>'Debt Schedule'!F24</f>
        <v>704.94512733623492</v>
      </c>
      <c r="F20" s="25">
        <f>'Debt Schedule'!G24</f>
        <v>732.30864946864438</v>
      </c>
    </row>
    <row r="21" spans="1:6" ht="15.75" customHeight="1">
      <c r="A21" t="s">
        <v>112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workbookViewId="0">
      <selection activeCell="C12" sqref="C12"/>
    </sheetView>
  </sheetViews>
  <sheetFormatPr defaultColWidth="11.125" defaultRowHeight="15" customHeight="1"/>
  <cols>
    <col min="1" max="1" width="28.5" customWidth="1"/>
    <col min="2" max="2" width="11.75" customWidth="1"/>
    <col min="3" max="7" width="10.875" customWidth="1"/>
    <col min="8" max="26" width="10.5" customWidth="1"/>
  </cols>
  <sheetData>
    <row r="1" spans="1:16" ht="15.75" customHeight="1">
      <c r="A1" s="1" t="s">
        <v>3</v>
      </c>
      <c r="B1" s="1" t="s">
        <v>4</v>
      </c>
    </row>
    <row r="2" spans="1:16" ht="15.75" customHeight="1">
      <c r="A2" s="1" t="s">
        <v>6</v>
      </c>
      <c r="B2" s="1" t="s">
        <v>7</v>
      </c>
    </row>
    <row r="3" spans="1:16" ht="15.75" customHeight="1">
      <c r="A3" s="1" t="s">
        <v>9</v>
      </c>
      <c r="B3" s="1" t="s">
        <v>10</v>
      </c>
    </row>
    <row r="4" spans="1:16" ht="15.75" customHeight="1">
      <c r="A4" s="1" t="s">
        <v>11</v>
      </c>
      <c r="B4" s="1" t="s">
        <v>12</v>
      </c>
      <c r="L4" s="3"/>
      <c r="M4" s="3"/>
      <c r="N4" s="3"/>
      <c r="O4" s="3"/>
      <c r="P4" s="3"/>
    </row>
    <row r="5" spans="1:16" ht="15.75" customHeight="1">
      <c r="A5" s="1" t="s">
        <v>14</v>
      </c>
      <c r="B5" s="1" t="s">
        <v>15</v>
      </c>
    </row>
    <row r="6" spans="1:16" ht="15.75" customHeight="1"/>
    <row r="7" spans="1:16" ht="15.75" customHeight="1">
      <c r="A7" t="s">
        <v>32</v>
      </c>
      <c r="B7" s="1" t="s">
        <v>113</v>
      </c>
      <c r="C7" s="1" t="s">
        <v>85</v>
      </c>
      <c r="D7" s="1" t="s">
        <v>86</v>
      </c>
      <c r="E7" s="1" t="s">
        <v>87</v>
      </c>
      <c r="F7" s="1" t="s">
        <v>88</v>
      </c>
      <c r="G7" s="1" t="s">
        <v>89</v>
      </c>
    </row>
    <row r="8" spans="1:16" ht="15.75" customHeight="1">
      <c r="A8" s="1" t="s">
        <v>114</v>
      </c>
      <c r="B8" s="6">
        <v>3800</v>
      </c>
      <c r="C8" s="6">
        <f t="shared" ref="C8:G8" si="0">B12</f>
        <v>3800</v>
      </c>
      <c r="D8" s="6">
        <f t="shared" si="0"/>
        <v>3128.7534249999999</v>
      </c>
      <c r="E8" s="6">
        <f t="shared" si="0"/>
        <v>2445.2319184999997</v>
      </c>
      <c r="F8" s="6">
        <f t="shared" si="0"/>
        <v>1742.2252550374997</v>
      </c>
      <c r="G8" s="6">
        <f t="shared" si="0"/>
        <v>1019.8578751508896</v>
      </c>
    </row>
    <row r="9" spans="1:16" ht="15.75" customHeight="1">
      <c r="A9" s="1" t="s">
        <v>115</v>
      </c>
      <c r="B9" s="3">
        <v>0.01</v>
      </c>
      <c r="C9" s="3">
        <v>0.01</v>
      </c>
      <c r="D9" s="3">
        <v>0.01</v>
      </c>
      <c r="E9" s="3">
        <v>0.01</v>
      </c>
      <c r="F9" s="3">
        <v>0.01</v>
      </c>
      <c r="G9" s="3">
        <v>0.01</v>
      </c>
    </row>
    <row r="10" spans="1:16" ht="15.75" customHeight="1">
      <c r="A10" s="1" t="s">
        <v>115</v>
      </c>
      <c r="B10" s="6"/>
      <c r="C10" s="6">
        <f t="shared" ref="C10:G10" si="1">C9*C8</f>
        <v>38</v>
      </c>
      <c r="D10" s="6">
        <f t="shared" si="1"/>
        <v>31.28753425</v>
      </c>
      <c r="E10" s="6">
        <f t="shared" si="1"/>
        <v>24.452319184999997</v>
      </c>
      <c r="F10" s="6">
        <f t="shared" si="1"/>
        <v>17.422252550374996</v>
      </c>
      <c r="G10" s="6">
        <f t="shared" si="1"/>
        <v>10.198578751508897</v>
      </c>
    </row>
    <row r="11" spans="1:16" ht="15.75" customHeight="1">
      <c r="A11" s="1" t="s">
        <v>111</v>
      </c>
      <c r="B11" s="6"/>
      <c r="C11" s="6">
        <f>C23</f>
        <v>633.24657499999989</v>
      </c>
      <c r="D11" s="6">
        <f t="shared" ref="C11:G11" si="2">D23</f>
        <v>652.23397224999997</v>
      </c>
      <c r="E11" s="6">
        <f t="shared" si="2"/>
        <v>678.55434427750004</v>
      </c>
      <c r="F11" s="6">
        <f t="shared" si="2"/>
        <v>704.94512733623492</v>
      </c>
      <c r="G11" s="6">
        <f t="shared" si="2"/>
        <v>732.30864946864438</v>
      </c>
    </row>
    <row r="12" spans="1:16" ht="15.75" customHeight="1">
      <c r="A12" s="1" t="s">
        <v>116</v>
      </c>
      <c r="B12" s="6">
        <f t="shared" ref="B12:G12" si="3">B8-B10-B11</f>
        <v>3800</v>
      </c>
      <c r="C12" s="6">
        <f t="shared" si="3"/>
        <v>3128.7534249999999</v>
      </c>
      <c r="D12" s="6">
        <f t="shared" si="3"/>
        <v>2445.2319184999997</v>
      </c>
      <c r="E12" s="6">
        <f t="shared" si="3"/>
        <v>1742.2252550374997</v>
      </c>
      <c r="F12" s="6">
        <f t="shared" si="3"/>
        <v>1019.8578751508896</v>
      </c>
      <c r="G12" s="6">
        <f t="shared" si="3"/>
        <v>277.35064693073639</v>
      </c>
    </row>
    <row r="13" spans="1:16" ht="15.75" customHeight="1">
      <c r="A13" s="1" t="s">
        <v>117</v>
      </c>
      <c r="B13" s="6"/>
      <c r="C13" s="6">
        <f t="shared" ref="C13:G13" si="4">AVERAGE(C8,C12)</f>
        <v>3464.3767124999999</v>
      </c>
      <c r="D13" s="6">
        <f t="shared" si="4"/>
        <v>2786.9926717499998</v>
      </c>
      <c r="E13" s="6">
        <f t="shared" si="4"/>
        <v>2093.7285867687497</v>
      </c>
      <c r="F13" s="6">
        <f t="shared" si="4"/>
        <v>1381.0415650941945</v>
      </c>
      <c r="G13" s="6">
        <f t="shared" si="4"/>
        <v>648.60426104081307</v>
      </c>
    </row>
    <row r="14" spans="1:16" ht="15.75" customHeight="1">
      <c r="A14" s="1" t="s">
        <v>118</v>
      </c>
      <c r="B14" s="6"/>
      <c r="C14" s="4">
        <v>8.5000000000000006E-2</v>
      </c>
      <c r="D14" s="4">
        <v>8.5000000000000006E-2</v>
      </c>
      <c r="E14" s="4">
        <v>8.5000000000000006E-2</v>
      </c>
      <c r="F14" s="4">
        <v>8.5000000000000006E-2</v>
      </c>
      <c r="G14" s="4">
        <v>8.5000000000000006E-2</v>
      </c>
    </row>
    <row r="15" spans="1:16" ht="15.75" customHeight="1">
      <c r="A15" s="1" t="s">
        <v>119</v>
      </c>
      <c r="B15" s="6"/>
      <c r="C15" s="6">
        <f t="shared" ref="C15:G15" si="5">C14*C13</f>
        <v>294.47202056250001</v>
      </c>
      <c r="D15" s="6">
        <f t="shared" si="5"/>
        <v>236.89437709875</v>
      </c>
      <c r="E15" s="6">
        <f t="shared" si="5"/>
        <v>177.96692987534374</v>
      </c>
      <c r="F15" s="6">
        <f t="shared" si="5"/>
        <v>117.38853303300654</v>
      </c>
      <c r="G15" s="6">
        <f t="shared" si="5"/>
        <v>55.131362188469112</v>
      </c>
    </row>
    <row r="16" spans="1:16" ht="15.75" customHeight="1">
      <c r="B16" s="6"/>
      <c r="C16" s="6"/>
      <c r="D16" s="6"/>
      <c r="E16" s="6"/>
      <c r="F16" s="6"/>
      <c r="G16" s="6"/>
    </row>
    <row r="17" spans="1:7" ht="15.75" customHeight="1">
      <c r="B17" s="6"/>
      <c r="C17" s="6"/>
      <c r="D17" s="6"/>
      <c r="E17" s="6"/>
      <c r="F17" s="6"/>
      <c r="G17" s="6"/>
    </row>
    <row r="18" spans="1:7" ht="15.75" customHeight="1">
      <c r="A18" s="1" t="s">
        <v>120</v>
      </c>
      <c r="B18" s="1" t="s">
        <v>113</v>
      </c>
      <c r="C18" s="1" t="s">
        <v>85</v>
      </c>
      <c r="D18" s="1" t="s">
        <v>86</v>
      </c>
      <c r="E18" s="1" t="s">
        <v>87</v>
      </c>
      <c r="F18" s="1" t="s">
        <v>88</v>
      </c>
      <c r="G18" s="1" t="s">
        <v>89</v>
      </c>
    </row>
    <row r="19" spans="1:7" ht="15.75" customHeight="1">
      <c r="A19" s="1" t="s">
        <v>92</v>
      </c>
      <c r="B19" s="6"/>
      <c r="C19" s="6">
        <f>'Operating Model'!C10</f>
        <v>948.62999999999977</v>
      </c>
      <c r="D19" s="6">
        <f>'Operating Model'!D10</f>
        <v>977.08889999999997</v>
      </c>
      <c r="E19" s="6">
        <f>'Operating Model'!E10</f>
        <v>1015.40563748</v>
      </c>
      <c r="F19" s="6">
        <f>'Operating Model'!F10</f>
        <v>1053.91294357828</v>
      </c>
      <c r="G19" s="6">
        <f>'Operating Model'!G10</f>
        <v>1093.8168229687249</v>
      </c>
    </row>
    <row r="20" spans="1:7" ht="15.75" customHeight="1">
      <c r="A20" s="1" t="s">
        <v>121</v>
      </c>
      <c r="B20" s="6"/>
      <c r="C20" s="6">
        <f>'Operating Model'!C16</f>
        <v>204.94682499999993</v>
      </c>
      <c r="D20" s="6">
        <f>'Operating Model'!D16</f>
        <v>211.09522974999999</v>
      </c>
      <c r="E20" s="6">
        <f>'Operating Model'!E16</f>
        <v>219.6791042625</v>
      </c>
      <c r="F20" s="6">
        <f>'Operating Model'!F16</f>
        <v>228.28076163384497</v>
      </c>
      <c r="G20" s="6">
        <f>'Operating Model'!G16</f>
        <v>237.20080725363448</v>
      </c>
    </row>
    <row r="21" spans="1:7" ht="15.75" customHeight="1">
      <c r="A21" s="1" t="s">
        <v>122</v>
      </c>
      <c r="B21" s="6"/>
      <c r="C21" s="6">
        <f>'Operating Model'!C19</f>
        <v>110.43659999999998</v>
      </c>
      <c r="D21" s="6">
        <f>'Operating Model'!D19</f>
        <v>113.749698</v>
      </c>
      <c r="E21" s="6">
        <f>'Operating Model'!E19</f>
        <v>117.16218893999999</v>
      </c>
      <c r="F21" s="6">
        <f>'Operating Model'!F19</f>
        <v>120.67705460819998</v>
      </c>
      <c r="G21" s="6">
        <f>'Operating Model'!G19</f>
        <v>124.29736624644599</v>
      </c>
    </row>
    <row r="22" spans="1:7" ht="15.75" customHeight="1">
      <c r="A22" s="1" t="s">
        <v>123</v>
      </c>
      <c r="B22" s="6"/>
      <c r="C22" s="6">
        <v>0</v>
      </c>
      <c r="D22" s="6">
        <f>'Operating Model'!D20</f>
        <v>0.01</v>
      </c>
      <c r="E22" s="6">
        <f>'Operating Model'!E20</f>
        <v>0.01</v>
      </c>
      <c r="F22" s="6">
        <f>'Operating Model'!F20</f>
        <v>0.01</v>
      </c>
      <c r="G22" s="6">
        <f>'Operating Model'!G20</f>
        <v>0.01</v>
      </c>
    </row>
    <row r="23" spans="1:7" ht="15.75" customHeight="1">
      <c r="A23" s="1" t="s">
        <v>124</v>
      </c>
      <c r="B23" s="6"/>
      <c r="C23" s="6">
        <f t="shared" ref="C23:G23" si="6">C19-C20-C21-C22</f>
        <v>633.24657499999989</v>
      </c>
      <c r="D23" s="6">
        <f t="shared" si="6"/>
        <v>652.23397224999997</v>
      </c>
      <c r="E23" s="6">
        <f t="shared" si="6"/>
        <v>678.55434427750004</v>
      </c>
      <c r="F23" s="6">
        <f t="shared" si="6"/>
        <v>704.94512733623492</v>
      </c>
      <c r="G23" s="6">
        <f t="shared" si="6"/>
        <v>732.30864946864438</v>
      </c>
    </row>
    <row r="24" spans="1:7" ht="15.75" customHeight="1">
      <c r="A24" s="1" t="s">
        <v>111</v>
      </c>
      <c r="C24" s="6">
        <f>MIN(C23,C8-C10)</f>
        <v>633.24657499999989</v>
      </c>
      <c r="D24" s="6">
        <f t="shared" ref="C24:G24" si="7">MIN(D23,D8-D10)</f>
        <v>652.23397224999997</v>
      </c>
      <c r="E24" s="6">
        <f t="shared" si="7"/>
        <v>678.55434427750004</v>
      </c>
      <c r="F24" s="6">
        <f t="shared" si="7"/>
        <v>704.94512733623492</v>
      </c>
      <c r="G24" s="6">
        <f t="shared" si="7"/>
        <v>732.30864946864438</v>
      </c>
    </row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topLeftCell="A5" workbookViewId="0">
      <selection activeCell="H39" sqref="H39"/>
    </sheetView>
  </sheetViews>
  <sheetFormatPr defaultColWidth="11.125" defaultRowHeight="15" customHeight="1"/>
  <cols>
    <col min="1" max="1" width="28" customWidth="1"/>
    <col min="2" max="2" width="10.875" customWidth="1"/>
    <col min="3" max="26" width="10.5" customWidth="1"/>
  </cols>
  <sheetData>
    <row r="1" spans="1:14" ht="15.75" customHeight="1">
      <c r="A1" t="s">
        <v>125</v>
      </c>
      <c r="B1" t="s">
        <v>1</v>
      </c>
    </row>
    <row r="2" spans="1:14" ht="15.75" customHeight="1">
      <c r="A2" t="s">
        <v>126</v>
      </c>
      <c r="B2">
        <v>5</v>
      </c>
    </row>
    <row r="3" spans="1:14" ht="15.75" customHeight="1"/>
    <row r="4" spans="1:14" ht="15.75" customHeight="1">
      <c r="A4" t="s">
        <v>127</v>
      </c>
      <c r="B4">
        <v>4520</v>
      </c>
    </row>
    <row r="5" spans="1:14" ht="15.75" customHeight="1">
      <c r="A5" t="s">
        <v>128</v>
      </c>
      <c r="B5">
        <v>2712</v>
      </c>
    </row>
    <row r="6" spans="1:14" ht="15.75" customHeight="1">
      <c r="A6" t="s">
        <v>5</v>
      </c>
      <c r="B6">
        <f>B4-B5</f>
        <v>1808</v>
      </c>
    </row>
    <row r="7" spans="1:14" ht="15.75" customHeight="1"/>
    <row r="8" spans="1:14" ht="15.75" customHeight="1">
      <c r="A8" t="s">
        <v>129</v>
      </c>
      <c r="B8">
        <v>1093.8</v>
      </c>
    </row>
    <row r="9" spans="1:14" ht="15.75" customHeight="1">
      <c r="A9" t="s">
        <v>28</v>
      </c>
      <c r="B9">
        <v>7.5</v>
      </c>
    </row>
    <row r="10" spans="1:14" ht="15.75" customHeight="1"/>
    <row r="11" spans="1:14" ht="15.75" customHeight="1">
      <c r="A11" t="s">
        <v>130</v>
      </c>
      <c r="B11">
        <f>B8*B9</f>
        <v>8203.5</v>
      </c>
      <c r="K11" s="1"/>
      <c r="L11" s="1"/>
      <c r="N11" s="1"/>
    </row>
    <row r="12" spans="1:14" ht="15.75" customHeight="1">
      <c r="N12" s="1"/>
    </row>
    <row r="13" spans="1:14" ht="15.75" customHeight="1">
      <c r="A13" t="s">
        <v>131</v>
      </c>
      <c r="B13">
        <v>277.3</v>
      </c>
      <c r="K13" s="1"/>
      <c r="L13" s="1"/>
    </row>
    <row r="14" spans="1:14" ht="15.75" customHeight="1">
      <c r="K14" s="1"/>
      <c r="L14" s="7"/>
    </row>
    <row r="15" spans="1:14" ht="15.75" customHeight="1">
      <c r="A15" t="s">
        <v>132</v>
      </c>
      <c r="B15">
        <f>B11-B13</f>
        <v>7926.2</v>
      </c>
      <c r="K15" s="1"/>
      <c r="L15" s="1"/>
    </row>
    <row r="16" spans="1:14" ht="15.75" customHeight="1">
      <c r="K16" s="1"/>
      <c r="L16" s="3"/>
    </row>
    <row r="17" spans="1:11" ht="15.75" customHeight="1"/>
    <row r="18" spans="1:11" ht="15.75" customHeight="1">
      <c r="A18" t="s">
        <v>133</v>
      </c>
      <c r="B18" t="s">
        <v>74</v>
      </c>
      <c r="C18" s="1" t="s">
        <v>85</v>
      </c>
      <c r="D18" s="1" t="s">
        <v>86</v>
      </c>
      <c r="E18" s="1" t="s">
        <v>87</v>
      </c>
      <c r="F18" s="1" t="s">
        <v>88</v>
      </c>
      <c r="G18" s="1" t="s">
        <v>89</v>
      </c>
      <c r="K18" s="1"/>
    </row>
    <row r="19" spans="1:11" ht="15.75" customHeight="1">
      <c r="A19" t="s">
        <v>134</v>
      </c>
      <c r="B19">
        <v>-4520</v>
      </c>
      <c r="C19" s="1">
        <v>0</v>
      </c>
      <c r="D19" s="1">
        <v>0</v>
      </c>
      <c r="E19" s="1">
        <v>0</v>
      </c>
      <c r="F19" s="1">
        <v>0</v>
      </c>
      <c r="G19" s="7">
        <v>7926.2</v>
      </c>
    </row>
    <row r="20" spans="1:11" ht="15.75" customHeight="1">
      <c r="A20" t="s">
        <v>135</v>
      </c>
      <c r="B20">
        <v>7926.3</v>
      </c>
      <c r="K20" s="1"/>
    </row>
    <row r="21" spans="1:11" ht="15.75" customHeight="1">
      <c r="K21" s="3"/>
    </row>
    <row r="22" spans="1:11" ht="15.75" customHeight="1">
      <c r="A22" t="s">
        <v>16</v>
      </c>
      <c r="B22">
        <v>1.75</v>
      </c>
      <c r="K22" s="3"/>
    </row>
    <row r="23" spans="1:11" ht="15.75" customHeight="1">
      <c r="A23" t="s">
        <v>136</v>
      </c>
      <c r="B23" s="23">
        <f>IRR(B19:G19)</f>
        <v>0.11888465659623759</v>
      </c>
      <c r="K23" s="3"/>
    </row>
    <row r="24" spans="1:11" ht="15.75" customHeight="1"/>
    <row r="25" spans="1:11" ht="15.75" customHeight="1"/>
    <row r="26" spans="1:11" ht="15.75" customHeight="1">
      <c r="A26" t="s">
        <v>137</v>
      </c>
      <c r="K26" s="1"/>
    </row>
    <row r="27" spans="1:11" ht="15.75" customHeight="1">
      <c r="A27" t="s">
        <v>28</v>
      </c>
      <c r="B27" t="s">
        <v>138</v>
      </c>
      <c r="C27" t="s">
        <v>139</v>
      </c>
      <c r="D27" s="18" t="s">
        <v>140</v>
      </c>
      <c r="E27" t="s">
        <v>141</v>
      </c>
      <c r="F27" t="s">
        <v>142</v>
      </c>
      <c r="K27" s="1"/>
    </row>
    <row r="28" spans="1:11" ht="15.75" customHeight="1">
      <c r="A28" t="s">
        <v>143</v>
      </c>
      <c r="B28" s="14">
        <v>8.8999999999999996E-2</v>
      </c>
      <c r="C28" s="14">
        <v>0.104</v>
      </c>
      <c r="D28" s="27">
        <v>0.12</v>
      </c>
      <c r="E28" s="14">
        <v>0.13500000000000001</v>
      </c>
      <c r="F28" s="14">
        <v>0.15</v>
      </c>
      <c r="K28" s="1"/>
    </row>
    <row r="29" spans="1:11" ht="15.75" customHeight="1"/>
    <row r="30" spans="1:11" ht="15.75" customHeight="1"/>
    <row r="31" spans="1:11" ht="15.75" customHeight="1">
      <c r="A31" t="s">
        <v>144</v>
      </c>
    </row>
    <row r="32" spans="1:11" ht="15.75" customHeight="1">
      <c r="A32" t="s">
        <v>145</v>
      </c>
      <c r="B32" t="s">
        <v>146</v>
      </c>
      <c r="C32" t="s">
        <v>147</v>
      </c>
      <c r="D32" t="s">
        <v>148</v>
      </c>
    </row>
    <row r="33" spans="1:4" ht="15.75" customHeight="1">
      <c r="A33" t="s">
        <v>149</v>
      </c>
      <c r="B33">
        <v>3312</v>
      </c>
      <c r="C33">
        <v>4520</v>
      </c>
      <c r="D33">
        <v>5728</v>
      </c>
    </row>
    <row r="34" spans="1:4" ht="15.75" customHeight="1">
      <c r="A34" t="s">
        <v>136</v>
      </c>
      <c r="B34" s="14">
        <v>0.10199999999999999</v>
      </c>
      <c r="C34" s="14">
        <v>0.12</v>
      </c>
      <c r="D34" s="14">
        <v>0.13800000000000001</v>
      </c>
    </row>
    <row r="35" spans="1:4" ht="15.75" customHeight="1">
      <c r="A35" t="s">
        <v>16</v>
      </c>
      <c r="B35">
        <v>1.55</v>
      </c>
      <c r="C35">
        <v>1.75</v>
      </c>
      <c r="D35">
        <v>1.95</v>
      </c>
    </row>
    <row r="36" spans="1:4" ht="15.75" customHeight="1"/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1"/>
  <sheetViews>
    <sheetView workbookViewId="0">
      <selection activeCell="G24" sqref="G24"/>
    </sheetView>
  </sheetViews>
  <sheetFormatPr defaultColWidth="11.125" defaultRowHeight="15" customHeight="1"/>
  <cols>
    <col min="1" max="1" width="23.125" customWidth="1"/>
    <col min="2" max="2" width="18.625" customWidth="1"/>
    <col min="3" max="3" width="21.375" customWidth="1"/>
    <col min="4" max="4" width="15.875" customWidth="1"/>
    <col min="5" max="5" width="23.875" customWidth="1"/>
    <col min="6" max="9" width="10.5" customWidth="1"/>
    <col min="10" max="10" width="15.375" customWidth="1"/>
    <col min="11" max="26" width="10.5" customWidth="1"/>
  </cols>
  <sheetData>
    <row r="1" spans="1:2" ht="15.75" customHeight="1"/>
    <row r="2" spans="1:2" ht="15.75" customHeight="1"/>
    <row r="3" spans="1:2" ht="15.75" customHeight="1">
      <c r="A3" t="s">
        <v>150</v>
      </c>
    </row>
    <row r="4" spans="1:2" ht="15.75" customHeight="1">
      <c r="A4" t="s">
        <v>151</v>
      </c>
    </row>
    <row r="5" spans="1:2" ht="15.75" customHeight="1">
      <c r="A5" t="s">
        <v>152</v>
      </c>
    </row>
    <row r="6" spans="1:2" ht="15.75" customHeight="1">
      <c r="A6" t="s">
        <v>153</v>
      </c>
    </row>
    <row r="7" spans="1:2" ht="15.75" customHeight="1">
      <c r="A7" t="s">
        <v>154</v>
      </c>
    </row>
    <row r="8" spans="1:2" ht="15.75" customHeight="1"/>
    <row r="9" spans="1:2" ht="15.75" customHeight="1"/>
    <row r="10" spans="1:2" ht="15.75" customHeight="1">
      <c r="A10" t="s">
        <v>155</v>
      </c>
    </row>
    <row r="11" spans="1:2" ht="15.75" customHeight="1">
      <c r="A11" t="s">
        <v>156</v>
      </c>
      <c r="B11" t="s">
        <v>157</v>
      </c>
    </row>
    <row r="12" spans="1:2" ht="15.75" customHeight="1">
      <c r="A12" t="s">
        <v>158</v>
      </c>
      <c r="B12">
        <v>6.8</v>
      </c>
    </row>
    <row r="13" spans="1:2" ht="15.75" customHeight="1">
      <c r="A13" s="17" t="s">
        <v>159</v>
      </c>
      <c r="B13" s="17">
        <v>7.5</v>
      </c>
    </row>
    <row r="14" spans="1:2" ht="15.75" customHeight="1">
      <c r="A14" t="s">
        <v>160</v>
      </c>
      <c r="B14">
        <v>8.1</v>
      </c>
    </row>
    <row r="15" spans="1:2" ht="15.75" customHeight="1"/>
    <row r="16" spans="1:2" ht="15.75" customHeight="1">
      <c r="A16" t="s">
        <v>161</v>
      </c>
    </row>
    <row r="17" spans="1:4" ht="15.75" customHeight="1">
      <c r="A17" t="s">
        <v>162</v>
      </c>
      <c r="B17" t="s">
        <v>163</v>
      </c>
    </row>
    <row r="18" spans="1:4" ht="15.75" customHeight="1">
      <c r="A18" t="s">
        <v>129</v>
      </c>
      <c r="B18">
        <v>1093.8</v>
      </c>
    </row>
    <row r="19" spans="1:4" ht="15.75" customHeight="1"/>
    <row r="20" spans="1:4" ht="15.75" customHeight="1">
      <c r="A20" t="s">
        <v>164</v>
      </c>
    </row>
    <row r="21" spans="1:4" ht="15.75" customHeight="1">
      <c r="A21" t="s">
        <v>165</v>
      </c>
      <c r="B21" t="s">
        <v>156</v>
      </c>
      <c r="C21" t="s">
        <v>23</v>
      </c>
    </row>
    <row r="22" spans="1:4" ht="15.75" customHeight="1">
      <c r="A22" t="s">
        <v>166</v>
      </c>
      <c r="B22">
        <f>B12</f>
        <v>6.8</v>
      </c>
      <c r="C22">
        <f>B22*B18</f>
        <v>7437.8399999999992</v>
      </c>
    </row>
    <row r="23" spans="1:4" ht="15.75" customHeight="1">
      <c r="A23" s="17" t="s">
        <v>159</v>
      </c>
      <c r="B23" s="17">
        <f t="shared" ref="B23:B24" si="0">B13</f>
        <v>7.5</v>
      </c>
      <c r="C23" s="17">
        <f>B23*B18</f>
        <v>8203.5</v>
      </c>
    </row>
    <row r="24" spans="1:4" ht="15.75" customHeight="1">
      <c r="A24" t="s">
        <v>167</v>
      </c>
      <c r="B24">
        <f t="shared" si="0"/>
        <v>8.1</v>
      </c>
      <c r="C24">
        <f>B24*B18</f>
        <v>8859.7799999999988</v>
      </c>
    </row>
    <row r="25" spans="1:4" ht="15.75" customHeight="1"/>
    <row r="26" spans="1:4" ht="15.75" customHeight="1">
      <c r="A26" t="s">
        <v>168</v>
      </c>
    </row>
    <row r="27" spans="1:4" ht="15.75" customHeight="1">
      <c r="A27" t="s">
        <v>162</v>
      </c>
      <c r="B27" t="s">
        <v>166</v>
      </c>
      <c r="C27" s="28" t="s">
        <v>159</v>
      </c>
      <c r="D27" t="s">
        <v>167</v>
      </c>
    </row>
    <row r="28" spans="1:4" ht="15.75" customHeight="1">
      <c r="A28" t="s">
        <v>169</v>
      </c>
      <c r="B28">
        <f>C22</f>
        <v>7437.8399999999992</v>
      </c>
      <c r="C28" s="17">
        <f>C23</f>
        <v>8203.5</v>
      </c>
      <c r="D28">
        <f>C24</f>
        <v>8859.7799999999988</v>
      </c>
    </row>
    <row r="29" spans="1:4" ht="15.75" customHeight="1">
      <c r="A29" t="s">
        <v>128</v>
      </c>
      <c r="B29">
        <f>277.3</f>
        <v>277.3</v>
      </c>
      <c r="C29" s="17">
        <f t="shared" ref="C29:D29" si="1">277.3</f>
        <v>277.3</v>
      </c>
      <c r="D29">
        <f t="shared" si="1"/>
        <v>277.3</v>
      </c>
    </row>
    <row r="30" spans="1:4" ht="15.75" customHeight="1">
      <c r="A30" t="s">
        <v>170</v>
      </c>
      <c r="B30">
        <f>B28-B29</f>
        <v>7160.5399999999991</v>
      </c>
      <c r="C30" s="17">
        <f t="shared" ref="C30:D30" si="2">C28-C29</f>
        <v>7926.2</v>
      </c>
      <c r="D30">
        <f t="shared" si="2"/>
        <v>8582.48</v>
      </c>
    </row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D45"/>
  <sheetViews>
    <sheetView workbookViewId="0">
      <selection activeCell="G22" sqref="G22"/>
    </sheetView>
  </sheetViews>
  <sheetFormatPr defaultColWidth="11.125" defaultRowHeight="15" customHeight="1"/>
  <cols>
    <col min="1" max="1" width="33.375" customWidth="1"/>
    <col min="2" max="2" width="17.75" customWidth="1"/>
  </cols>
  <sheetData>
    <row r="2" spans="1:2">
      <c r="A2" s="15" t="s">
        <v>171</v>
      </c>
      <c r="B2" s="15" t="s">
        <v>172</v>
      </c>
    </row>
    <row r="3" spans="1:2">
      <c r="A3" s="15" t="s">
        <v>173</v>
      </c>
      <c r="B3" s="15" t="s">
        <v>174</v>
      </c>
    </row>
    <row r="4" spans="1:2">
      <c r="A4" s="15" t="s">
        <v>175</v>
      </c>
      <c r="B4" s="18">
        <v>2025</v>
      </c>
    </row>
    <row r="5" spans="1:2">
      <c r="A5" s="15" t="s">
        <v>176</v>
      </c>
      <c r="B5" s="18" t="s">
        <v>177</v>
      </c>
    </row>
    <row r="6" spans="1:2">
      <c r="A6" s="15" t="s">
        <v>178</v>
      </c>
      <c r="B6" s="18">
        <v>2030</v>
      </c>
    </row>
    <row r="8" spans="1:2">
      <c r="A8" s="18" t="s">
        <v>179</v>
      </c>
      <c r="B8" s="27">
        <v>0.08</v>
      </c>
    </row>
    <row r="9" spans="1:2">
      <c r="A9" s="18" t="s">
        <v>180</v>
      </c>
      <c r="B9" s="27">
        <v>0.02</v>
      </c>
    </row>
    <row r="10" spans="1:2">
      <c r="A10" s="18" t="s">
        <v>176</v>
      </c>
      <c r="B10" s="18">
        <v>5</v>
      </c>
    </row>
    <row r="11" spans="1:2">
      <c r="A11" s="18" t="s">
        <v>181</v>
      </c>
      <c r="B11" s="18" t="s">
        <v>182</v>
      </c>
    </row>
    <row r="12" spans="1:2"/>
    <row r="13" spans="1:2"/>
    <row r="14" spans="1:2">
      <c r="A14" t="s">
        <v>183</v>
      </c>
    </row>
    <row r="15" spans="1:2" ht="15" customHeight="1">
      <c r="A15" t="s">
        <v>184</v>
      </c>
      <c r="B15" t="s">
        <v>103</v>
      </c>
    </row>
    <row r="16" spans="1:2" ht="15" customHeight="1">
      <c r="A16" t="s">
        <v>85</v>
      </c>
      <c r="B16" s="29">
        <f>'Operating Model'!C22</f>
        <v>632.17657499999973</v>
      </c>
    </row>
    <row r="17" spans="1:2" ht="15" customHeight="1">
      <c r="A17" t="s">
        <v>86</v>
      </c>
      <c r="B17" s="29">
        <f>'Operating Model'!D22</f>
        <v>651.14397224999993</v>
      </c>
    </row>
    <row r="18" spans="1:2">
      <c r="A18" t="s">
        <v>87</v>
      </c>
      <c r="B18" s="29">
        <f>'Operating Model'!E22</f>
        <v>677.42434427750004</v>
      </c>
    </row>
    <row r="19" spans="1:2">
      <c r="A19" t="s">
        <v>88</v>
      </c>
      <c r="B19" s="29">
        <f>'Operating Model'!F22</f>
        <v>703.78512733623495</v>
      </c>
    </row>
    <row r="20" spans="1:2">
      <c r="A20" t="s">
        <v>89</v>
      </c>
      <c r="B20" s="29">
        <f>'Operating Model'!G22</f>
        <v>731.10864946864444</v>
      </c>
    </row>
    <row r="21" spans="1:2"/>
    <row r="22" spans="1:2">
      <c r="A22" t="s">
        <v>185</v>
      </c>
      <c r="B22" t="s">
        <v>1</v>
      </c>
    </row>
    <row r="23" spans="1:2">
      <c r="A23" t="s">
        <v>186</v>
      </c>
      <c r="B23">
        <v>2635</v>
      </c>
    </row>
    <row r="24" spans="1:2">
      <c r="A24" t="s">
        <v>187</v>
      </c>
      <c r="B24">
        <v>7980</v>
      </c>
    </row>
    <row r="25" spans="1:2" ht="15" customHeight="1">
      <c r="A25" t="s">
        <v>188</v>
      </c>
      <c r="B25">
        <f>B24-B23</f>
        <v>5345</v>
      </c>
    </row>
    <row r="26" spans="1:2" ht="15" customHeight="1">
      <c r="A26" t="s">
        <v>23</v>
      </c>
      <c r="B26">
        <v>8175</v>
      </c>
    </row>
    <row r="27" spans="1:2"/>
    <row r="28" spans="1:2">
      <c r="A28" t="s">
        <v>168</v>
      </c>
      <c r="B28" t="s">
        <v>1</v>
      </c>
    </row>
    <row r="29" spans="1:2">
      <c r="A29" t="s">
        <v>189</v>
      </c>
      <c r="B29">
        <f>B26</f>
        <v>8175</v>
      </c>
    </row>
    <row r="30" spans="1:2">
      <c r="A30" t="s">
        <v>128</v>
      </c>
      <c r="B30">
        <v>277.3</v>
      </c>
    </row>
    <row r="31" spans="1:2">
      <c r="A31" t="s">
        <v>168</v>
      </c>
      <c r="B31">
        <f>B29-B30</f>
        <v>7897.7</v>
      </c>
    </row>
    <row r="33" spans="1:4">
      <c r="A33" t="s">
        <v>190</v>
      </c>
      <c r="B33" s="14" t="s">
        <v>191</v>
      </c>
      <c r="C33" s="14" t="s">
        <v>192</v>
      </c>
      <c r="D33" s="14" t="s">
        <v>193</v>
      </c>
    </row>
    <row r="34" spans="1:4">
      <c r="A34" t="s">
        <v>194</v>
      </c>
    </row>
    <row r="35" spans="1:4">
      <c r="A35" s="14">
        <v>7.4999999999999997E-2</v>
      </c>
      <c r="B35">
        <v>8520</v>
      </c>
      <c r="C35">
        <v>8980</v>
      </c>
      <c r="D35">
        <v>9470</v>
      </c>
    </row>
    <row r="36" spans="1:4">
      <c r="A36" s="14">
        <v>0.08</v>
      </c>
      <c r="B36">
        <v>7650</v>
      </c>
      <c r="C36">
        <v>8175</v>
      </c>
      <c r="D36">
        <v>8740</v>
      </c>
    </row>
    <row r="37" spans="1:4">
      <c r="A37" s="14">
        <v>8.5000000000000006E-2</v>
      </c>
      <c r="B37">
        <v>6920</v>
      </c>
      <c r="C37">
        <v>9420</v>
      </c>
      <c r="D37">
        <v>7960</v>
      </c>
    </row>
    <row r="38" spans="1:4"/>
    <row r="39" spans="1:4"/>
    <row r="40" spans="1:4"/>
    <row r="41" spans="1:4"/>
    <row r="42" spans="1:4"/>
    <row r="44" spans="1:4"/>
    <row r="45" spans="1:4"/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9932-3B44-4455-ADED-F7671E67C711}">
  <dimension ref="A1:K143"/>
  <sheetViews>
    <sheetView workbookViewId="0">
      <selection activeCell="G14" sqref="G14"/>
    </sheetView>
  </sheetViews>
  <sheetFormatPr defaultRowHeight="15.75"/>
  <cols>
    <col min="1" max="1" width="30.375" customWidth="1"/>
    <col min="2" max="2" width="16.625" customWidth="1"/>
    <col min="3" max="3" width="14.125" customWidth="1"/>
    <col min="4" max="4" width="31.125" customWidth="1"/>
    <col min="5" max="5" width="18.25" customWidth="1"/>
    <col min="7" max="7" width="27.625" customWidth="1"/>
    <col min="8" max="8" width="16.5" customWidth="1"/>
    <col min="9" max="11" width="9.75" bestFit="1" customWidth="1"/>
  </cols>
  <sheetData>
    <row r="1" spans="1:5">
      <c r="A1" s="18" t="s">
        <v>195</v>
      </c>
      <c r="B1" s="18" t="s">
        <v>196</v>
      </c>
    </row>
    <row r="3" spans="1:5">
      <c r="A3" t="s">
        <v>32</v>
      </c>
      <c r="B3" s="1" t="s">
        <v>197</v>
      </c>
      <c r="C3" s="1" t="s">
        <v>198</v>
      </c>
      <c r="D3" s="1" t="s">
        <v>153</v>
      </c>
      <c r="E3" s="1" t="s">
        <v>199</v>
      </c>
    </row>
    <row r="4" spans="1:5">
      <c r="A4" s="1" t="s">
        <v>200</v>
      </c>
      <c r="B4" s="1">
        <v>2018</v>
      </c>
      <c r="C4" s="1">
        <v>2010</v>
      </c>
      <c r="D4" s="1">
        <v>2015</v>
      </c>
      <c r="E4" s="1">
        <v>2018</v>
      </c>
    </row>
    <row r="6" spans="1:5">
      <c r="A6" s="1" t="s">
        <v>201</v>
      </c>
      <c r="B6" s="1">
        <v>8.07</v>
      </c>
      <c r="C6" s="1">
        <v>10.96</v>
      </c>
      <c r="D6" s="1">
        <v>51.02</v>
      </c>
      <c r="E6" s="1">
        <v>35.159999999999997</v>
      </c>
    </row>
    <row r="7" spans="1:5">
      <c r="A7" s="1" t="s">
        <v>202</v>
      </c>
      <c r="B7" s="1">
        <v>819.7</v>
      </c>
      <c r="C7" s="1">
        <v>87.3</v>
      </c>
      <c r="D7" s="1">
        <v>49.76</v>
      </c>
      <c r="E7" s="1">
        <v>147.9</v>
      </c>
    </row>
    <row r="8" spans="1:5">
      <c r="A8" s="1" t="s">
        <v>203</v>
      </c>
      <c r="B8" s="1">
        <f>B6*B7</f>
        <v>6614.9790000000003</v>
      </c>
      <c r="C8" s="1">
        <f>C6*C7</f>
        <v>956.80799999999999</v>
      </c>
      <c r="D8" s="1">
        <f>D6*D7</f>
        <v>2538.7552000000001</v>
      </c>
      <c r="E8" s="1">
        <f>E6*E7</f>
        <v>5200.1639999999998</v>
      </c>
    </row>
    <row r="11" spans="1:5">
      <c r="A11" s="1" t="s">
        <v>204</v>
      </c>
      <c r="B11" s="1">
        <v>521.70000000000005</v>
      </c>
      <c r="C11" s="1" t="s">
        <v>205</v>
      </c>
      <c r="D11" s="1">
        <v>499</v>
      </c>
      <c r="E11" s="1">
        <v>0</v>
      </c>
    </row>
    <row r="12" spans="1:5">
      <c r="A12" s="1" t="s">
        <v>206</v>
      </c>
      <c r="B12" s="1">
        <v>7284.1</v>
      </c>
      <c r="C12" s="1" t="s">
        <v>205</v>
      </c>
      <c r="D12" s="1">
        <v>488.92200000000003</v>
      </c>
      <c r="E12" s="1">
        <v>1432</v>
      </c>
    </row>
    <row r="13" spans="1:5">
      <c r="A13" s="1" t="s">
        <v>207</v>
      </c>
      <c r="B13" s="1">
        <v>0</v>
      </c>
      <c r="C13" s="1" t="s">
        <v>205</v>
      </c>
      <c r="D13" s="1">
        <v>0</v>
      </c>
      <c r="E13" s="1">
        <v>0</v>
      </c>
    </row>
    <row r="14" spans="1:5">
      <c r="A14" s="1" t="s">
        <v>208</v>
      </c>
      <c r="B14" s="1">
        <f>B11+B12</f>
        <v>7805.8</v>
      </c>
      <c r="D14" s="1">
        <f>D11+D12+D13</f>
        <v>987.92200000000003</v>
      </c>
      <c r="E14" s="1">
        <v>1432</v>
      </c>
    </row>
    <row r="15" spans="1:5">
      <c r="A15" s="1" t="s">
        <v>209</v>
      </c>
      <c r="B15" s="1">
        <v>62.8</v>
      </c>
      <c r="C15" s="1">
        <v>8601.2000000000007</v>
      </c>
      <c r="D15" s="1">
        <v>1066.5830000000001</v>
      </c>
      <c r="E15" s="1">
        <v>416.7</v>
      </c>
    </row>
    <row r="16" spans="1:5">
      <c r="A16" s="1" t="s">
        <v>210</v>
      </c>
      <c r="B16" s="1">
        <v>108.2</v>
      </c>
      <c r="C16" s="1" t="s">
        <v>205</v>
      </c>
      <c r="D16" s="1">
        <v>8.3160000000000007</v>
      </c>
      <c r="E16" s="1">
        <v>24.3</v>
      </c>
    </row>
    <row r="17" spans="1:11">
      <c r="A17" s="1" t="s">
        <v>128</v>
      </c>
      <c r="B17" s="1">
        <f>B14-B15</f>
        <v>7743</v>
      </c>
      <c r="C17" s="1">
        <f>C14-C15</f>
        <v>-8601.2000000000007</v>
      </c>
      <c r="D17" s="1">
        <f>D14-D15</f>
        <v>-78.661000000000058</v>
      </c>
      <c r="E17" s="1">
        <f>E14-E15</f>
        <v>1015.3</v>
      </c>
    </row>
    <row r="19" spans="1:11">
      <c r="A19" s="1" t="s">
        <v>23</v>
      </c>
      <c r="B19" s="1">
        <f>B8+B17</f>
        <v>14357.978999999999</v>
      </c>
      <c r="C19" s="1">
        <f>C8+C17</f>
        <v>-7644.3920000000007</v>
      </c>
      <c r="D19" s="1">
        <f>D8+D17</f>
        <v>2460.0942</v>
      </c>
      <c r="E19" s="1">
        <f>E8+E17</f>
        <v>6215.4639999999999</v>
      </c>
    </row>
    <row r="22" spans="1:11">
      <c r="A22" s="1" t="s">
        <v>211</v>
      </c>
      <c r="B22" s="1">
        <v>0</v>
      </c>
      <c r="C22" s="1">
        <v>0</v>
      </c>
      <c r="D22" s="1">
        <v>0</v>
      </c>
      <c r="E22" s="1">
        <v>0</v>
      </c>
    </row>
    <row r="23" spans="1:11">
      <c r="A23" s="1" t="s">
        <v>212</v>
      </c>
      <c r="B23" s="1">
        <v>0</v>
      </c>
      <c r="C23" s="1">
        <v>0</v>
      </c>
      <c r="D23" s="1">
        <v>0</v>
      </c>
      <c r="E23" s="1">
        <v>0</v>
      </c>
    </row>
    <row r="24" spans="1:11">
      <c r="A24" s="1" t="s">
        <v>213</v>
      </c>
      <c r="B24" s="1">
        <v>0</v>
      </c>
      <c r="C24" s="1">
        <v>0</v>
      </c>
      <c r="D24" s="1">
        <v>0</v>
      </c>
      <c r="E24" s="1">
        <v>0</v>
      </c>
    </row>
    <row r="25" spans="1:11">
      <c r="A25" s="1" t="s">
        <v>214</v>
      </c>
      <c r="B25" s="1">
        <f>SUM(B19:B24)</f>
        <v>14357.978999999999</v>
      </c>
      <c r="C25" s="1">
        <f>SUM(C19:C24)</f>
        <v>-7644.3920000000007</v>
      </c>
      <c r="D25" s="1">
        <f>SUM(D19:D24)</f>
        <v>2460.0942</v>
      </c>
      <c r="E25" s="1">
        <f>SUM(E19:E24)</f>
        <v>6215.4639999999999</v>
      </c>
    </row>
    <row r="29" spans="1:11">
      <c r="A29" s="18" t="s">
        <v>215</v>
      </c>
      <c r="B29" s="18" t="s">
        <v>216</v>
      </c>
      <c r="C29" s="18"/>
      <c r="D29" s="18"/>
    </row>
    <row r="31" spans="1:11">
      <c r="A31" t="s">
        <v>32</v>
      </c>
      <c r="B31" s="1" t="s">
        <v>217</v>
      </c>
      <c r="C31" s="1" t="s">
        <v>159</v>
      </c>
      <c r="D31" s="1" t="s">
        <v>218</v>
      </c>
      <c r="G31" s="1" t="s">
        <v>157</v>
      </c>
    </row>
    <row r="32" spans="1:11">
      <c r="A32" s="1" t="s">
        <v>219</v>
      </c>
      <c r="B32" s="1">
        <v>0.9</v>
      </c>
      <c r="C32" s="1">
        <v>2.2999999999999998</v>
      </c>
      <c r="D32" s="1">
        <v>2.9</v>
      </c>
      <c r="G32" t="s">
        <v>32</v>
      </c>
      <c r="H32" s="1" t="s">
        <v>197</v>
      </c>
      <c r="I32" s="1" t="s">
        <v>198</v>
      </c>
      <c r="J32" s="1" t="s">
        <v>153</v>
      </c>
      <c r="K32" s="1" t="s">
        <v>199</v>
      </c>
    </row>
    <row r="33" spans="1:11">
      <c r="A33" s="1" t="s">
        <v>156</v>
      </c>
      <c r="B33" s="1">
        <v>6.8</v>
      </c>
      <c r="C33" s="1">
        <v>6.9</v>
      </c>
      <c r="D33" s="1">
        <v>10.4</v>
      </c>
      <c r="G33" s="1" t="s">
        <v>201</v>
      </c>
      <c r="H33" s="1">
        <v>8.07</v>
      </c>
      <c r="I33" s="1">
        <v>10.96</v>
      </c>
      <c r="J33" s="1">
        <v>51.02</v>
      </c>
      <c r="K33" s="1">
        <v>35.159999999999997</v>
      </c>
    </row>
    <row r="34" spans="1:11">
      <c r="A34" s="1"/>
      <c r="G34" s="1" t="s">
        <v>202</v>
      </c>
      <c r="H34" s="1">
        <v>819.7</v>
      </c>
      <c r="I34" s="1">
        <v>109.6</v>
      </c>
      <c r="J34" s="1">
        <v>49.76</v>
      </c>
      <c r="K34" s="1">
        <v>147.9</v>
      </c>
    </row>
    <row r="35" spans="1:11">
      <c r="A35" s="1" t="s">
        <v>7</v>
      </c>
      <c r="B35" t="s">
        <v>1</v>
      </c>
      <c r="G35" s="1" t="s">
        <v>203</v>
      </c>
      <c r="H35" s="1">
        <f>H33*H34</f>
        <v>6614.9790000000003</v>
      </c>
      <c r="I35" s="1">
        <f>I33*I34</f>
        <v>1201.2160000000001</v>
      </c>
      <c r="J35" s="1">
        <f>J33*J34</f>
        <v>2538.7552000000001</v>
      </c>
      <c r="K35" s="1">
        <f>K33*K34</f>
        <v>5200.1639999999998</v>
      </c>
    </row>
    <row r="36" spans="1:11">
      <c r="A36" s="1" t="s">
        <v>220</v>
      </c>
      <c r="B36" s="1">
        <v>4923</v>
      </c>
      <c r="G36" s="1" t="s">
        <v>128</v>
      </c>
      <c r="H36" s="1">
        <f>Appendix!B17</f>
        <v>7743</v>
      </c>
      <c r="I36" s="1">
        <v>-165.5</v>
      </c>
      <c r="J36" s="1">
        <f>Appendix!D17</f>
        <v>-78.661000000000058</v>
      </c>
      <c r="K36" s="1">
        <f>Appendix!E17</f>
        <v>1015.3</v>
      </c>
    </row>
    <row r="37" spans="1:11">
      <c r="A37" s="1" t="s">
        <v>221</v>
      </c>
      <c r="B37" s="1">
        <v>2121</v>
      </c>
      <c r="G37" s="1" t="s">
        <v>23</v>
      </c>
      <c r="H37" s="1">
        <f>Appendix!B19</f>
        <v>14357.978999999999</v>
      </c>
      <c r="I37" s="1">
        <f>I35-(-I36)</f>
        <v>1035.7160000000001</v>
      </c>
      <c r="J37" s="1">
        <f>Appendix!D19</f>
        <v>2460.0942</v>
      </c>
      <c r="K37" s="1">
        <f>Appendix!E19</f>
        <v>6215.4639999999999</v>
      </c>
    </row>
    <row r="39" spans="1:11">
      <c r="A39" s="1" t="s">
        <v>222</v>
      </c>
      <c r="G39" s="1" t="s">
        <v>223</v>
      </c>
      <c r="H39" s="1">
        <v>4923</v>
      </c>
      <c r="I39" s="1">
        <v>512</v>
      </c>
      <c r="J39" s="1">
        <v>936</v>
      </c>
      <c r="K39" s="1">
        <v>6945</v>
      </c>
    </row>
    <row r="40" spans="1:11">
      <c r="A40" s="1" t="s">
        <v>224</v>
      </c>
      <c r="B40" s="1">
        <f>B32*B36</f>
        <v>4430.7</v>
      </c>
      <c r="G40" s="1" t="s">
        <v>225</v>
      </c>
      <c r="H40" s="8">
        <v>2121</v>
      </c>
      <c r="I40" s="8">
        <v>-54</v>
      </c>
      <c r="J40" s="8">
        <v>237</v>
      </c>
      <c r="K40" s="8">
        <v>905</v>
      </c>
    </row>
    <row r="41" spans="1:11">
      <c r="A41" s="1" t="s">
        <v>159</v>
      </c>
      <c r="B41" s="1">
        <f>C32*B36</f>
        <v>11322.9</v>
      </c>
      <c r="G41" s="1" t="s">
        <v>48</v>
      </c>
      <c r="H41" s="9">
        <f>H40/H39</f>
        <v>0.4308348567946374</v>
      </c>
      <c r="I41" s="1" t="s">
        <v>226</v>
      </c>
      <c r="J41" s="9">
        <f>J40/J39</f>
        <v>0.25320512820512819</v>
      </c>
      <c r="K41" s="9">
        <f>K40/K39</f>
        <v>0.13030957523398129</v>
      </c>
    </row>
    <row r="42" spans="1:11">
      <c r="A42" s="1" t="s">
        <v>227</v>
      </c>
      <c r="B42" s="1">
        <f>D32*B36</f>
        <v>14276.699999999999</v>
      </c>
    </row>
    <row r="44" spans="1:11">
      <c r="A44" s="1" t="s">
        <v>228</v>
      </c>
      <c r="G44" s="18" t="s">
        <v>32</v>
      </c>
      <c r="H44" s="18" t="s">
        <v>1</v>
      </c>
      <c r="I44" s="18" t="s">
        <v>229</v>
      </c>
      <c r="J44" s="18" t="s">
        <v>230</v>
      </c>
      <c r="K44" s="18" t="s">
        <v>231</v>
      </c>
    </row>
    <row r="45" spans="1:11">
      <c r="A45" s="1" t="s">
        <v>224</v>
      </c>
      <c r="B45" s="1">
        <f>B33*B37</f>
        <v>14422.8</v>
      </c>
      <c r="G45" s="15" t="s">
        <v>232</v>
      </c>
      <c r="H45" s="16">
        <f>H37/H40</f>
        <v>6.7694384724186705</v>
      </c>
      <c r="I45" s="16" t="s">
        <v>226</v>
      </c>
      <c r="J45" s="16">
        <f>J37/J40</f>
        <v>10.380144303797469</v>
      </c>
      <c r="K45" s="16">
        <f>K37/K40</f>
        <v>6.8679160220994477</v>
      </c>
    </row>
    <row r="46" spans="1:11">
      <c r="A46" s="1" t="s">
        <v>159</v>
      </c>
      <c r="B46" s="1">
        <f>C33*B37</f>
        <v>14634.900000000001</v>
      </c>
      <c r="G46" s="15"/>
      <c r="H46" s="16"/>
      <c r="I46" s="16"/>
      <c r="J46" s="16"/>
      <c r="K46" s="16"/>
    </row>
    <row r="47" spans="1:11">
      <c r="A47" s="1" t="s">
        <v>227</v>
      </c>
      <c r="B47" s="1">
        <f>D33*B37</f>
        <v>22058.400000000001</v>
      </c>
      <c r="G47" s="15" t="s">
        <v>233</v>
      </c>
      <c r="H47" s="16">
        <f>H37/H39</f>
        <v>2.9165100548446068</v>
      </c>
      <c r="I47" s="16">
        <f>I37/I39</f>
        <v>2.0228828125000002</v>
      </c>
      <c r="J47" s="16">
        <f>J37/J39</f>
        <v>2.6283057692307694</v>
      </c>
      <c r="K47" s="16">
        <f>K37/K39</f>
        <v>0.8949552195824334</v>
      </c>
    </row>
    <row r="48" spans="1:11">
      <c r="G48" s="1"/>
    </row>
    <row r="49" spans="1:9">
      <c r="A49" s="1" t="s">
        <v>234</v>
      </c>
      <c r="B49" t="s">
        <v>74</v>
      </c>
      <c r="C49" t="s">
        <v>75</v>
      </c>
      <c r="D49" t="s">
        <v>235</v>
      </c>
      <c r="G49" s="1"/>
    </row>
    <row r="50" spans="1:9">
      <c r="A50" s="1" t="s">
        <v>236</v>
      </c>
      <c r="B50" s="1">
        <f>B40-Appendix!B17</f>
        <v>-3312.3</v>
      </c>
      <c r="C50" s="1">
        <f>B41-Appendix!B17</f>
        <v>3579.8999999999996</v>
      </c>
      <c r="D50" s="1">
        <f>B42-Appendix!B17</f>
        <v>6533.6999999999989</v>
      </c>
    </row>
    <row r="51" spans="1:9">
      <c r="A51" s="1" t="s">
        <v>156</v>
      </c>
      <c r="B51" s="1">
        <f>B45-Appendix!B17</f>
        <v>6679.7999999999993</v>
      </c>
      <c r="C51" s="1">
        <f>B46-7743</f>
        <v>6891.9000000000015</v>
      </c>
      <c r="D51" s="1">
        <f>B47-7743</f>
        <v>14315.400000000001</v>
      </c>
      <c r="G51" s="1" t="s">
        <v>237</v>
      </c>
      <c r="H51" s="1" t="s">
        <v>236</v>
      </c>
      <c r="I51" s="1" t="s">
        <v>156</v>
      </c>
    </row>
    <row r="52" spans="1:9">
      <c r="A52" s="1" t="s">
        <v>238</v>
      </c>
      <c r="G52" s="1" t="s">
        <v>239</v>
      </c>
      <c r="H52" s="7">
        <f>MIN(H47:K47)</f>
        <v>0.8949552195824334</v>
      </c>
      <c r="I52" s="7">
        <f>MIN(H45:K45)</f>
        <v>6.7694384724186705</v>
      </c>
    </row>
    <row r="53" spans="1:9">
      <c r="A53" s="1" t="s">
        <v>240</v>
      </c>
      <c r="B53" s="1">
        <v>819.7</v>
      </c>
      <c r="G53" s="1" t="s">
        <v>159</v>
      </c>
      <c r="H53" s="7">
        <f>MEDIAN(H47:K47)</f>
        <v>2.3255942908653848</v>
      </c>
      <c r="I53" s="7">
        <f>MEDIAN(H45:K45)</f>
        <v>6.8679160220994477</v>
      </c>
    </row>
    <row r="54" spans="1:9">
      <c r="A54" s="1" t="s">
        <v>236</v>
      </c>
      <c r="B54" s="1">
        <f>B50/B53</f>
        <v>-4.0408686104672444</v>
      </c>
      <c r="C54" s="1">
        <f>C50/B53</f>
        <v>4.3673295107966323</v>
      </c>
      <c r="D54" s="1">
        <f>D50/B53</f>
        <v>7.9708429913382925</v>
      </c>
      <c r="G54" s="1" t="s">
        <v>218</v>
      </c>
      <c r="H54" s="7">
        <f>MAX(H47:K47)</f>
        <v>2.9165100548446068</v>
      </c>
      <c r="I54" s="7">
        <f>MAX(J45:K45)</f>
        <v>10.380144303797469</v>
      </c>
    </row>
    <row r="55" spans="1:9">
      <c r="A55" s="1" t="s">
        <v>156</v>
      </c>
      <c r="B55" s="1">
        <f>B51/B53</f>
        <v>8.1490789313163337</v>
      </c>
      <c r="C55" s="1">
        <f>C51/B53</f>
        <v>8.4078321337074549</v>
      </c>
      <c r="D55" s="1">
        <f>D51/B53</f>
        <v>17.46419421739661</v>
      </c>
    </row>
    <row r="57" spans="1:9">
      <c r="A57" s="18" t="s">
        <v>241</v>
      </c>
      <c r="B57" s="18" t="s">
        <v>242</v>
      </c>
      <c r="C57" s="18"/>
    </row>
    <row r="59" spans="1:9">
      <c r="A59" s="1" t="s">
        <v>243</v>
      </c>
      <c r="B59" t="s">
        <v>1</v>
      </c>
    </row>
    <row r="60" spans="1:9">
      <c r="A60" s="1" t="s">
        <v>184</v>
      </c>
      <c r="B60" s="1" t="s">
        <v>244</v>
      </c>
      <c r="D60" s="1" t="s">
        <v>52</v>
      </c>
      <c r="E60" t="s">
        <v>1</v>
      </c>
    </row>
    <row r="61" spans="1:9">
      <c r="A61" t="s">
        <v>85</v>
      </c>
      <c r="B61" s="9">
        <v>2.5000000000000001E-2</v>
      </c>
      <c r="D61" s="1" t="s">
        <v>245</v>
      </c>
      <c r="E61" s="9">
        <v>0.08</v>
      </c>
    </row>
    <row r="62" spans="1:9">
      <c r="A62" t="s">
        <v>86</v>
      </c>
      <c r="B62" s="9">
        <v>2.5000000000000001E-2</v>
      </c>
      <c r="D62" s="1" t="s">
        <v>246</v>
      </c>
      <c r="E62" s="9">
        <v>0.06</v>
      </c>
    </row>
    <row r="63" spans="1:9">
      <c r="A63" t="s">
        <v>87</v>
      </c>
      <c r="B63" s="9">
        <v>2.5000000000000001E-2</v>
      </c>
      <c r="D63" s="1" t="s">
        <v>247</v>
      </c>
      <c r="E63" s="9">
        <v>5.0000000000000001E-3</v>
      </c>
    </row>
    <row r="64" spans="1:9">
      <c r="A64" t="s">
        <v>88</v>
      </c>
      <c r="B64" s="9">
        <v>2.5000000000000001E-2</v>
      </c>
      <c r="D64" s="1" t="s">
        <v>57</v>
      </c>
      <c r="E64" s="10">
        <v>0.25</v>
      </c>
    </row>
    <row r="65" spans="1:5">
      <c r="A65" t="s">
        <v>89</v>
      </c>
      <c r="B65" s="9">
        <v>2.5000000000000001E-2</v>
      </c>
    </row>
    <row r="66" spans="1:5">
      <c r="D66" s="1" t="s">
        <v>248</v>
      </c>
      <c r="E66" t="s">
        <v>1</v>
      </c>
    </row>
    <row r="67" spans="1:5">
      <c r="D67" s="1" t="s">
        <v>249</v>
      </c>
      <c r="E67" s="9">
        <v>0.04</v>
      </c>
    </row>
    <row r="68" spans="1:5">
      <c r="D68" s="1" t="s">
        <v>250</v>
      </c>
      <c r="E68" s="9">
        <v>5.5E-2</v>
      </c>
    </row>
    <row r="69" spans="1:5">
      <c r="D69" s="1" t="s">
        <v>251</v>
      </c>
      <c r="E69" s="1">
        <v>1.1000000000000001</v>
      </c>
    </row>
    <row r="70" spans="1:5">
      <c r="D70" s="1" t="s">
        <v>252</v>
      </c>
      <c r="E70" s="9">
        <v>0.10100000000000001</v>
      </c>
    </row>
    <row r="71" spans="1:5">
      <c r="D71" s="1" t="s">
        <v>253</v>
      </c>
      <c r="E71" s="9">
        <v>6.5000000000000002E-2</v>
      </c>
    </row>
    <row r="72" spans="1:5">
      <c r="D72" s="1" t="s">
        <v>254</v>
      </c>
      <c r="E72" s="10">
        <v>0.25</v>
      </c>
    </row>
    <row r="73" spans="1:5">
      <c r="D73" s="1" t="s">
        <v>255</v>
      </c>
      <c r="E73" s="9">
        <v>4.9000000000000002E-2</v>
      </c>
    </row>
    <row r="74" spans="1:5">
      <c r="D74" s="1" t="s">
        <v>256</v>
      </c>
      <c r="E74" s="10">
        <v>0.5</v>
      </c>
    </row>
    <row r="75" spans="1:5">
      <c r="D75" s="1" t="s">
        <v>179</v>
      </c>
      <c r="E75" s="9">
        <v>7.4999999999999997E-2</v>
      </c>
    </row>
    <row r="77" spans="1:5">
      <c r="D77" s="1" t="s">
        <v>257</v>
      </c>
      <c r="E77" t="s">
        <v>1</v>
      </c>
    </row>
    <row r="78" spans="1:5">
      <c r="D78" s="1" t="s">
        <v>180</v>
      </c>
      <c r="E78" s="9">
        <v>0.02</v>
      </c>
    </row>
    <row r="82" spans="1:7">
      <c r="A82" s="18" t="s">
        <v>258</v>
      </c>
      <c r="B82" s="18" t="s">
        <v>259</v>
      </c>
      <c r="C82" s="18"/>
    </row>
    <row r="84" spans="1:7">
      <c r="A84" t="s">
        <v>32</v>
      </c>
      <c r="B84" s="1" t="s">
        <v>260</v>
      </c>
      <c r="C84" s="1" t="s">
        <v>261</v>
      </c>
      <c r="D84" s="1" t="s">
        <v>262</v>
      </c>
      <c r="E84" s="1" t="s">
        <v>263</v>
      </c>
      <c r="F84" s="1" t="s">
        <v>264</v>
      </c>
      <c r="G84" s="1" t="s">
        <v>265</v>
      </c>
    </row>
    <row r="85" spans="1:7">
      <c r="A85" s="1" t="s">
        <v>90</v>
      </c>
      <c r="B85" s="1">
        <v>4923</v>
      </c>
      <c r="C85" s="11">
        <f>C86*B85+B85</f>
        <v>5046.0749999999998</v>
      </c>
      <c r="D85" s="11">
        <f>D86*C85+C85</f>
        <v>5162.1347249999999</v>
      </c>
      <c r="E85" s="11">
        <f>E86*D85+D85</f>
        <v>5270.5395542249998</v>
      </c>
      <c r="F85" s="11">
        <f>F86*E85+E85</f>
        <v>5375.9503453094994</v>
      </c>
      <c r="G85" s="11">
        <f>G86*F85+F85</f>
        <v>5483.4693522156895</v>
      </c>
    </row>
    <row r="86" spans="1:7">
      <c r="A86" s="1" t="s">
        <v>46</v>
      </c>
      <c r="B86" s="9">
        <v>0</v>
      </c>
      <c r="C86" s="9">
        <v>2.5000000000000001E-2</v>
      </c>
      <c r="D86" s="9">
        <v>2.3E-2</v>
      </c>
      <c r="E86" s="9">
        <v>2.1000000000000001E-2</v>
      </c>
      <c r="F86" s="9">
        <v>0.02</v>
      </c>
      <c r="G86" s="9">
        <v>0.02</v>
      </c>
    </row>
    <row r="87" spans="1:7">
      <c r="A87" s="1" t="s">
        <v>266</v>
      </c>
      <c r="B87" s="12">
        <v>0.43099999999999999</v>
      </c>
      <c r="C87" s="12">
        <v>0.43</v>
      </c>
      <c r="D87" s="12">
        <v>0.43099999999999999</v>
      </c>
      <c r="E87" s="12">
        <v>0.43099999999999999</v>
      </c>
      <c r="F87" s="12">
        <v>0.43099999999999999</v>
      </c>
      <c r="G87" s="12">
        <v>0.43099999999999999</v>
      </c>
    </row>
    <row r="88" spans="1:7">
      <c r="A88" s="1" t="s">
        <v>267</v>
      </c>
      <c r="B88" s="13">
        <f>B87*B85</f>
        <v>2121.8130000000001</v>
      </c>
      <c r="C88" s="13">
        <f>C87*C85</f>
        <v>2169.8122499999999</v>
      </c>
      <c r="D88" s="13">
        <f>D87*D85</f>
        <v>2224.8800664750001</v>
      </c>
      <c r="E88" s="13">
        <f>E87*E85</f>
        <v>2271.6025478709748</v>
      </c>
      <c r="F88" s="13">
        <f>F87*F85</f>
        <v>2317.0345988283943</v>
      </c>
      <c r="G88" s="13">
        <f>G87*G85</f>
        <v>2363.3752908049623</v>
      </c>
    </row>
    <row r="89" spans="1:7">
      <c r="A89" s="1" t="s">
        <v>93</v>
      </c>
      <c r="C89" s="1">
        <v>0.08</v>
      </c>
      <c r="D89" s="1">
        <v>0.08</v>
      </c>
      <c r="E89" s="1">
        <v>0.08</v>
      </c>
      <c r="F89" s="1">
        <v>0.08</v>
      </c>
      <c r="G89" s="1">
        <v>0.08</v>
      </c>
    </row>
    <row r="90" spans="1:7">
      <c r="A90" s="1" t="s">
        <v>268</v>
      </c>
      <c r="C90" s="1">
        <f>C89*C85</f>
        <v>403.68599999999998</v>
      </c>
      <c r="D90" s="1">
        <f>D89*D85</f>
        <v>412.970778</v>
      </c>
      <c r="E90" s="1">
        <f>E89*E85</f>
        <v>421.64316433800002</v>
      </c>
      <c r="F90" s="1">
        <f>F89*F85</f>
        <v>430.07602762475994</v>
      </c>
      <c r="G90" s="1">
        <f>G89*G85</f>
        <v>438.67754817725518</v>
      </c>
    </row>
    <row r="91" spans="1:7">
      <c r="A91" s="1" t="s">
        <v>269</v>
      </c>
      <c r="C91" s="1">
        <v>0.06</v>
      </c>
      <c r="D91" s="1">
        <v>0.06</v>
      </c>
      <c r="E91" s="1">
        <v>0.06</v>
      </c>
      <c r="F91" s="1">
        <v>0.06</v>
      </c>
      <c r="G91" s="1">
        <v>0.06</v>
      </c>
    </row>
    <row r="92" spans="1:7">
      <c r="A92" s="1" t="s">
        <v>269</v>
      </c>
      <c r="C92" s="1">
        <f>C91*C85</f>
        <v>302.7645</v>
      </c>
      <c r="D92" s="1">
        <f>D91*D85</f>
        <v>309.72808349999997</v>
      </c>
      <c r="E92" s="1">
        <f>E91*E85</f>
        <v>316.23237325349999</v>
      </c>
      <c r="F92" s="1">
        <f>F91*F85</f>
        <v>322.55702071856996</v>
      </c>
      <c r="G92" s="1">
        <f>G91*G85</f>
        <v>329.00816113294138</v>
      </c>
    </row>
    <row r="93" spans="1:7">
      <c r="A93" s="1" t="s">
        <v>270</v>
      </c>
      <c r="C93" s="1">
        <v>5.0000000000000001E-3</v>
      </c>
      <c r="D93" s="1">
        <v>5.0000000000000001E-3</v>
      </c>
      <c r="E93" s="1">
        <v>5.0000000000000001E-3</v>
      </c>
      <c r="F93" s="1">
        <v>5.0000000000000001E-3</v>
      </c>
      <c r="G93" s="1">
        <v>5.0000000000000001E-3</v>
      </c>
    </row>
    <row r="94" spans="1:7">
      <c r="A94" s="1" t="s">
        <v>271</v>
      </c>
      <c r="C94" s="1">
        <f>C93*C85</f>
        <v>25.230374999999999</v>
      </c>
      <c r="D94" s="1">
        <f>D93*D85</f>
        <v>25.810673625</v>
      </c>
      <c r="E94" s="1">
        <f>E93*E85</f>
        <v>26.352697771125001</v>
      </c>
      <c r="F94" s="1">
        <f>F93*F85</f>
        <v>26.879751726547497</v>
      </c>
      <c r="G94" s="1">
        <f>G93*G85</f>
        <v>27.417346761078448</v>
      </c>
    </row>
    <row r="95" spans="1:7">
      <c r="A95" s="1" t="s">
        <v>95</v>
      </c>
      <c r="C95" s="13">
        <f>C88-C90</f>
        <v>1766.12625</v>
      </c>
      <c r="D95" s="13">
        <f>D88-D90</f>
        <v>1811.9092884750003</v>
      </c>
      <c r="E95" s="13">
        <f>E88-E90</f>
        <v>1849.9593835329747</v>
      </c>
      <c r="F95" s="13">
        <f>F88-F90</f>
        <v>1886.9585712036344</v>
      </c>
      <c r="G95" s="13">
        <f>G88-G90</f>
        <v>1924.6977426277072</v>
      </c>
    </row>
    <row r="96" spans="1:7">
      <c r="A96" s="1" t="s">
        <v>57</v>
      </c>
      <c r="C96" s="1">
        <v>0.25</v>
      </c>
      <c r="D96" s="1">
        <v>0.25</v>
      </c>
      <c r="E96" s="1">
        <v>0.25</v>
      </c>
      <c r="F96" s="1">
        <v>0.25</v>
      </c>
      <c r="G96" s="1">
        <v>0.25</v>
      </c>
    </row>
    <row r="97" spans="1:7">
      <c r="A97" s="1" t="s">
        <v>57</v>
      </c>
      <c r="C97" s="1">
        <f>C96*C95</f>
        <v>441.53156250000001</v>
      </c>
      <c r="D97" s="1">
        <f>D96*D95</f>
        <v>452.97732211875007</v>
      </c>
      <c r="E97" s="1">
        <f>E96*E95</f>
        <v>462.48984588324367</v>
      </c>
      <c r="F97" s="1">
        <f>F96*F95</f>
        <v>471.7396428009086</v>
      </c>
      <c r="G97" s="1">
        <f>G96*G95</f>
        <v>481.17443565692679</v>
      </c>
    </row>
    <row r="99" spans="1:7">
      <c r="A99" t="s">
        <v>32</v>
      </c>
      <c r="B99" s="1" t="s">
        <v>261</v>
      </c>
      <c r="C99" s="1" t="s">
        <v>262</v>
      </c>
      <c r="D99" s="1" t="s">
        <v>263</v>
      </c>
      <c r="E99" s="1" t="s">
        <v>264</v>
      </c>
      <c r="F99" s="1" t="s">
        <v>265</v>
      </c>
    </row>
    <row r="100" spans="1:7">
      <c r="A100" s="1" t="s">
        <v>95</v>
      </c>
      <c r="B100" s="13">
        <v>1766.12625</v>
      </c>
      <c r="C100" s="13">
        <v>1811.9092884750003</v>
      </c>
      <c r="D100" s="13">
        <v>1849.9593835329747</v>
      </c>
      <c r="E100" s="13">
        <v>1886.9585712036344</v>
      </c>
      <c r="F100" s="13">
        <v>1924.6977426277072</v>
      </c>
    </row>
    <row r="101" spans="1:7">
      <c r="A101" s="1" t="s">
        <v>272</v>
      </c>
      <c r="B101" s="1">
        <v>441.53156250000001</v>
      </c>
      <c r="C101" s="1">
        <v>452.97732211875007</v>
      </c>
      <c r="D101" s="1">
        <v>462.48984588324367</v>
      </c>
      <c r="E101" s="1">
        <v>471.7396428009086</v>
      </c>
      <c r="F101" s="1">
        <v>481.17443565692679</v>
      </c>
    </row>
    <row r="102" spans="1:7">
      <c r="A102" s="1" t="s">
        <v>98</v>
      </c>
      <c r="B102" s="13">
        <f>B100-B101</f>
        <v>1324.5946875</v>
      </c>
      <c r="C102" s="13">
        <f>C100-C101</f>
        <v>1358.9319663562501</v>
      </c>
      <c r="D102" s="13">
        <f>D100-D101</f>
        <v>1387.4695376497311</v>
      </c>
      <c r="E102" s="13">
        <f>E100-E101</f>
        <v>1415.2189284027259</v>
      </c>
      <c r="F102" s="13">
        <f>F100-F101</f>
        <v>1443.5233069707804</v>
      </c>
    </row>
    <row r="103" spans="1:7">
      <c r="A103" s="1" t="s">
        <v>93</v>
      </c>
      <c r="B103" s="1">
        <v>403.68599999999998</v>
      </c>
      <c r="C103" s="1">
        <v>412.970778</v>
      </c>
      <c r="D103" s="1">
        <v>421.64316433800002</v>
      </c>
      <c r="E103" s="1">
        <v>430.07602762475994</v>
      </c>
      <c r="F103" s="1">
        <v>438.67754817725518</v>
      </c>
    </row>
    <row r="104" spans="1:7">
      <c r="A104" s="1" t="s">
        <v>273</v>
      </c>
      <c r="B104" s="13">
        <f>B102+B103</f>
        <v>1728.2806874999999</v>
      </c>
      <c r="C104" s="13">
        <f>C102+C103</f>
        <v>1771.90274435625</v>
      </c>
      <c r="D104" s="13">
        <f>D102+D103</f>
        <v>1809.1127019877313</v>
      </c>
      <c r="E104" s="13">
        <f>E102+E103</f>
        <v>1845.2949560274858</v>
      </c>
      <c r="F104" s="13">
        <f>F102+F103</f>
        <v>1882.2008551480355</v>
      </c>
    </row>
    <row r="105" spans="1:7">
      <c r="A105" s="1" t="s">
        <v>100</v>
      </c>
      <c r="B105" s="1">
        <v>302.7645</v>
      </c>
      <c r="C105" s="1">
        <v>309.72808349999997</v>
      </c>
      <c r="D105" s="1">
        <v>316.23237325349999</v>
      </c>
      <c r="E105" s="1">
        <v>322.55702071856996</v>
      </c>
      <c r="F105" s="1">
        <v>329.00816113294138</v>
      </c>
    </row>
    <row r="106" spans="1:7">
      <c r="A106" s="1" t="s">
        <v>102</v>
      </c>
      <c r="B106" s="1">
        <v>25.230374999999999</v>
      </c>
      <c r="C106" s="1">
        <v>25.810673625</v>
      </c>
      <c r="D106" s="1">
        <v>26.352697771125001</v>
      </c>
      <c r="E106" s="1">
        <v>26.879751726547497</v>
      </c>
      <c r="F106" s="1">
        <v>27.417346761078448</v>
      </c>
    </row>
    <row r="107" spans="1:7">
      <c r="A107" s="1" t="s">
        <v>274</v>
      </c>
      <c r="B107" s="13">
        <f>B104-B105-B106</f>
        <v>1400.2858124999998</v>
      </c>
      <c r="C107" s="13">
        <f>C104-C105-C106</f>
        <v>1436.3639872312501</v>
      </c>
      <c r="D107" s="13">
        <f>D104-D105-D106</f>
        <v>1466.5276309631063</v>
      </c>
      <c r="E107" s="13">
        <f>E104-E105-E106</f>
        <v>1495.8581835823684</v>
      </c>
      <c r="F107" s="13">
        <f>F104-F105-F106</f>
        <v>1525.7753472540157</v>
      </c>
    </row>
    <row r="109" spans="1:7">
      <c r="A109" s="1" t="s">
        <v>184</v>
      </c>
      <c r="B109" s="1" t="s">
        <v>275</v>
      </c>
      <c r="C109" s="1" t="s">
        <v>276</v>
      </c>
      <c r="D109" s="1" t="s">
        <v>277</v>
      </c>
      <c r="E109" s="1" t="s">
        <v>278</v>
      </c>
      <c r="F109" s="1" t="s">
        <v>279</v>
      </c>
    </row>
    <row r="110" spans="1:7">
      <c r="A110" s="1" t="s">
        <v>261</v>
      </c>
      <c r="B110" s="1">
        <v>1</v>
      </c>
      <c r="C110" s="9">
        <v>7.4999999999999997E-2</v>
      </c>
      <c r="D110" s="1">
        <f>1/(1+C110)^B110</f>
        <v>0.93023255813953487</v>
      </c>
      <c r="E110" s="13">
        <f>Appendix!B107</f>
        <v>1400.2858124999998</v>
      </c>
      <c r="F110" s="1">
        <f>E110*D110</f>
        <v>1302.5914534883718</v>
      </c>
    </row>
    <row r="111" spans="1:7">
      <c r="A111" s="1" t="s">
        <v>262</v>
      </c>
      <c r="B111" s="1">
        <v>2</v>
      </c>
      <c r="C111" s="9">
        <v>7.4999999999999997E-2</v>
      </c>
      <c r="D111" s="1">
        <f>1/(1+C111)^B111</f>
        <v>0.86533261222282321</v>
      </c>
      <c r="E111" s="13">
        <f>Appendix!C107</f>
        <v>1436.3639872312501</v>
      </c>
      <c r="F111" s="1">
        <f>E111*D111</f>
        <v>1242.9326011736075</v>
      </c>
    </row>
    <row r="112" spans="1:7">
      <c r="A112" s="1" t="s">
        <v>263</v>
      </c>
      <c r="B112" s="1">
        <v>3</v>
      </c>
      <c r="C112" s="9">
        <v>7.4999999999999997E-2</v>
      </c>
      <c r="D112" s="1">
        <f>1/(1+C112)^B112</f>
        <v>0.80496056950960304</v>
      </c>
      <c r="E112" s="13">
        <f>Appendix!D107</f>
        <v>1466.5276309631063</v>
      </c>
      <c r="F112" s="1">
        <f>E112*D112</f>
        <v>1180.4969170216309</v>
      </c>
    </row>
    <row r="113" spans="1:6">
      <c r="A113" s="1" t="s">
        <v>264</v>
      </c>
      <c r="B113" s="1">
        <v>4</v>
      </c>
      <c r="C113" s="9">
        <v>7.4999999999999997E-2</v>
      </c>
      <c r="D113" s="1">
        <f>1/(1+C113)^B113</f>
        <v>0.7488005297763749</v>
      </c>
      <c r="E113" s="13">
        <f>Appendix!E107</f>
        <v>1495.8581835823684</v>
      </c>
      <c r="F113" s="1">
        <f>E113*D113</f>
        <v>1120.0994003368032</v>
      </c>
    </row>
    <row r="114" spans="1:6">
      <c r="A114" s="1" t="s">
        <v>265</v>
      </c>
      <c r="B114" s="1">
        <v>5</v>
      </c>
      <c r="C114" s="9">
        <v>7.4999999999999997E-2</v>
      </c>
      <c r="D114" s="1">
        <f>1/(1+C114)^B114</f>
        <v>0.69655863235011617</v>
      </c>
      <c r="E114" s="13">
        <f>Appendix!F107</f>
        <v>1525.7753472540157</v>
      </c>
      <c r="F114" s="1">
        <f>E114*D114</f>
        <v>1062.7919891567808</v>
      </c>
    </row>
    <row r="115" spans="1:6">
      <c r="A115" s="1" t="s">
        <v>280</v>
      </c>
      <c r="C115" s="9"/>
      <c r="F115" s="1">
        <f>SUM(F110:F114)</f>
        <v>5908.9123611771947</v>
      </c>
    </row>
    <row r="118" spans="1:6">
      <c r="A118" s="1" t="s">
        <v>179</v>
      </c>
      <c r="B118" s="9" t="s">
        <v>281</v>
      </c>
    </row>
    <row r="119" spans="1:6">
      <c r="A119" s="1" t="s">
        <v>282</v>
      </c>
      <c r="B119" s="9">
        <v>0.02</v>
      </c>
    </row>
    <row r="120" spans="1:6">
      <c r="A120" s="1" t="s">
        <v>283</v>
      </c>
      <c r="B120" s="1">
        <v>1525.78</v>
      </c>
    </row>
    <row r="122" spans="1:6">
      <c r="A122" s="1" t="s">
        <v>284</v>
      </c>
      <c r="B122" s="1">
        <f>B120*(1+B119)/(B118-B119)</f>
        <v>28296.283636363638</v>
      </c>
    </row>
    <row r="124" spans="1:6">
      <c r="A124" s="1" t="s">
        <v>285</v>
      </c>
    </row>
    <row r="125" spans="1:6">
      <c r="A125" s="1" t="s">
        <v>286</v>
      </c>
      <c r="B125" s="1">
        <f>Appendix!D114</f>
        <v>0.69655863235011617</v>
      </c>
    </row>
    <row r="126" spans="1:6">
      <c r="A126" s="1" t="s">
        <v>287</v>
      </c>
      <c r="B126" s="1">
        <f>B125*B122</f>
        <v>19710.020630336428</v>
      </c>
    </row>
    <row r="128" spans="1:6">
      <c r="A128" s="1" t="s">
        <v>23</v>
      </c>
      <c r="B128" t="s">
        <v>163</v>
      </c>
    </row>
    <row r="129" spans="1:2">
      <c r="A129" s="1" t="s">
        <v>288</v>
      </c>
      <c r="B129" s="1">
        <f>Appendix!F115</f>
        <v>5908.9123611771947</v>
      </c>
    </row>
    <row r="130" spans="1:2">
      <c r="A130" s="1" t="s">
        <v>289</v>
      </c>
      <c r="B130" s="1">
        <f>B129+B126</f>
        <v>25618.932991513622</v>
      </c>
    </row>
    <row r="132" spans="1:2">
      <c r="A132" s="1" t="s">
        <v>128</v>
      </c>
      <c r="B132" s="1">
        <v>7743</v>
      </c>
    </row>
    <row r="133" spans="1:2">
      <c r="A133" s="1" t="s">
        <v>290</v>
      </c>
      <c r="B133" s="1">
        <v>819.7</v>
      </c>
    </row>
    <row r="135" spans="1:2">
      <c r="A135" s="1" t="s">
        <v>203</v>
      </c>
      <c r="B135" s="1">
        <f>B130-B132</f>
        <v>17875.932991513622</v>
      </c>
    </row>
    <row r="137" spans="1:2">
      <c r="A137" s="1" t="s">
        <v>238</v>
      </c>
      <c r="B137" s="1">
        <f>B135/B133</f>
        <v>21.80789678115606</v>
      </c>
    </row>
    <row r="140" spans="1:2">
      <c r="A140" s="1" t="s">
        <v>291</v>
      </c>
    </row>
    <row r="141" spans="1:2">
      <c r="A141" s="1" t="s">
        <v>292</v>
      </c>
      <c r="B141">
        <v>2386</v>
      </c>
    </row>
    <row r="143" spans="1:2">
      <c r="A143" s="1" t="s">
        <v>293</v>
      </c>
      <c r="B143">
        <f>28620/2386</f>
        <v>11.994970662196144</v>
      </c>
    </row>
  </sheetData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2026-01-05T19:50:31Z</dcterms:created>
  <dcterms:modified xsi:type="dcterms:W3CDTF">2026-02-01T13:47:47Z</dcterms:modified>
  <cp:category/>
  <cp:contentStatus/>
</cp:coreProperties>
</file>