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uaravkhurana586/Desktop/Final Check List/Hertz Capital Restructuring/"/>
    </mc:Choice>
  </mc:AlternateContent>
  <xr:revisionPtr revIDLastSave="0" documentId="13_ncr:1_{71ACB837-9E8D-4A4B-A8C9-1F779E9AD42E}" xr6:coauthVersionLast="47" xr6:coauthVersionMax="47" xr10:uidLastSave="{00000000-0000-0000-0000-000000000000}"/>
  <bookViews>
    <workbookView xWindow="0" yWindow="500" windowWidth="28800" windowHeight="16620" firstSheet="2" activeTab="8" xr2:uid="{6D89A7AB-13DA-494E-825D-31139BA546FB}"/>
  </bookViews>
  <sheets>
    <sheet name="Situation Overview &amp; Key Assump" sheetId="1" r:id="rId1"/>
    <sheet name="Pre Petition Capital Structure" sheetId="5" r:id="rId2"/>
    <sheet name="Operating Forecast" sheetId="6" r:id="rId3"/>
    <sheet name="Free Cash flow &amp; Liquidity" sheetId="7" r:id="rId4"/>
    <sheet name="Valuation Anchor" sheetId="8" r:id="rId5"/>
    <sheet name="Restructuring Mechanics" sheetId="2" r:id="rId6"/>
    <sheet name="Recovery Waterfall" sheetId="3" r:id="rId7"/>
    <sheet name="Post restructuring Capital Stru" sheetId="9" r:id="rId8"/>
    <sheet name="Sensitivity Analysi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</calcChain>
</file>

<file path=xl/sharedStrings.xml><?xml version="1.0" encoding="utf-8"?>
<sst xmlns="http://schemas.openxmlformats.org/spreadsheetml/2006/main" count="214" uniqueCount="169">
  <si>
    <t>Restrucuring  Pre- petetion</t>
  </si>
  <si>
    <t>Values</t>
  </si>
  <si>
    <t>Company</t>
  </si>
  <si>
    <t>Hertz Global Holdings</t>
  </si>
  <si>
    <t>Situation</t>
  </si>
  <si>
    <t>Liquidity Crisis</t>
  </si>
  <si>
    <t>Restucturing Objectives:</t>
  </si>
  <si>
    <t>Process</t>
  </si>
  <si>
    <t>Chapter 11 (Pre- Petition)</t>
  </si>
  <si>
    <t>Preserve liquidity during travel demand collapse</t>
  </si>
  <si>
    <t>Filing Date</t>
  </si>
  <si>
    <t>Address unsustainable vehicle ABS and corporate leverage</t>
  </si>
  <si>
    <t>Currency</t>
  </si>
  <si>
    <t>USD( mm)</t>
  </si>
  <si>
    <t>Maximize recovery for secured creditors</t>
  </si>
  <si>
    <t>Industry</t>
  </si>
  <si>
    <t>Car Rental</t>
  </si>
  <si>
    <t>Maintain going-concern enterprise value</t>
  </si>
  <si>
    <t>Primary Shock</t>
  </si>
  <si>
    <t>COVID-19 Travel Collapse</t>
  </si>
  <si>
    <t>LTM EBITDA (2019A)</t>
  </si>
  <si>
    <t>Cash Balance (Pre-Petition)</t>
  </si>
  <si>
    <t>Target</t>
  </si>
  <si>
    <t>Total Debt (Gross)</t>
  </si>
  <si>
    <t>Focus</t>
  </si>
  <si>
    <t>Capital Structure</t>
  </si>
  <si>
    <t>Instrument</t>
  </si>
  <si>
    <t>Principal</t>
  </si>
  <si>
    <t>Interest Rate</t>
  </si>
  <si>
    <t>Maturity</t>
  </si>
  <si>
    <t>Secured</t>
  </si>
  <si>
    <t>Vehicle ABS Debt</t>
  </si>
  <si>
    <t>Asset Based</t>
  </si>
  <si>
    <t>Yes</t>
  </si>
  <si>
    <t>First Lien Term Loan</t>
  </si>
  <si>
    <t>L+ 3.25%</t>
  </si>
  <si>
    <t>Second Lien NOtes</t>
  </si>
  <si>
    <t>Subordinated/ Other</t>
  </si>
  <si>
    <t>2022-2026</t>
  </si>
  <si>
    <t>No</t>
  </si>
  <si>
    <t>Convertible Notes</t>
  </si>
  <si>
    <t>Total Debt</t>
  </si>
  <si>
    <t>Metric</t>
  </si>
  <si>
    <t>Value</t>
  </si>
  <si>
    <t>Total Debt / LTM EBITDA</t>
  </si>
  <si>
    <t>8.3x</t>
  </si>
  <si>
    <t>Secured Debt / Total Debt</t>
  </si>
  <si>
    <t>Cash Interest Expense (Annual)</t>
  </si>
  <si>
    <t>Cash Interest / EBITDA</t>
  </si>
  <si>
    <t>Note: ABS debt Secured by Vehicle fleet; structurally senior to corporate obligations.</t>
  </si>
  <si>
    <t>Purpose:</t>
  </si>
  <si>
    <t>Establish a conservative, COVID-adjusted operating base to assess liquidity, cash burn, and creditor recoveries.</t>
  </si>
  <si>
    <t>Core Operating Table</t>
  </si>
  <si>
    <t>Operating forecast</t>
  </si>
  <si>
    <t>2019 A</t>
  </si>
  <si>
    <t>2020 E</t>
  </si>
  <si>
    <t xml:space="preserve">2021 E </t>
  </si>
  <si>
    <t>2022 E</t>
  </si>
  <si>
    <t>Revenue</t>
  </si>
  <si>
    <t>YoY Growth</t>
  </si>
  <si>
    <t>-</t>
  </si>
  <si>
    <t>EBITDA</t>
  </si>
  <si>
    <t>EBITDA Margin</t>
  </si>
  <si>
    <t xml:space="preserve">Operating Cost Breakdown </t>
  </si>
  <si>
    <t>Capital Inensity Assumptions</t>
  </si>
  <si>
    <t>% of Revenue</t>
  </si>
  <si>
    <t>2020E</t>
  </si>
  <si>
    <t>2021 E</t>
  </si>
  <si>
    <t>2022E</t>
  </si>
  <si>
    <t>Item</t>
  </si>
  <si>
    <t>Assumptions</t>
  </si>
  <si>
    <t>Fleet Costs</t>
  </si>
  <si>
    <t>Maintenance Capex</t>
  </si>
  <si>
    <t>6.0% of Revenue</t>
  </si>
  <si>
    <t>Operating Expenses</t>
  </si>
  <si>
    <t>Growth Capex</t>
  </si>
  <si>
    <t>Minimal (2020–2021)</t>
  </si>
  <si>
    <t>SG&amp;A</t>
  </si>
  <si>
    <t>Cash Taxes</t>
  </si>
  <si>
    <t>0% (loss position)</t>
  </si>
  <si>
    <t>Working Capital</t>
  </si>
  <si>
    <t>Neutral to slight source</t>
  </si>
  <si>
    <t xml:space="preserve">Footnote: </t>
  </si>
  <si>
    <t>Forecast reflects COVID-19 travel disruption in 2020, with gradual demand recovery. EBITDA and margins remain below 2019 levels through 2022; no government support or asset sales assumed.</t>
  </si>
  <si>
    <r>
      <rPr>
        <b/>
        <sz val="12"/>
        <color rgb="FF000000"/>
        <rFont val="TimesNewRomanPSMT"/>
      </rPr>
      <t>Purpose</t>
    </r>
    <r>
      <rPr>
        <sz val="12"/>
        <color rgb="FF000000"/>
        <rFont val="TimesNewRomanPSMT"/>
      </rPr>
      <t>:</t>
    </r>
  </si>
  <si>
    <t>Analyze liquidity runway and cash burn under COVID-impacted operations to assess restructuring necessity and timing.</t>
  </si>
  <si>
    <t xml:space="preserve"> Metrics USD (mm)</t>
  </si>
  <si>
    <t>2019A</t>
  </si>
  <si>
    <t>2021E</t>
  </si>
  <si>
    <t>Cash Interest Expense</t>
  </si>
  <si>
    <t>Capital Expenditures</t>
  </si>
  <si>
    <t>Change in Working Capital</t>
  </si>
  <si>
    <t>Free Cash Flow</t>
  </si>
  <si>
    <t>Liquidity &amp; Cash Runway</t>
  </si>
  <si>
    <t>Liquidity Constraints</t>
  </si>
  <si>
    <t>Beginning Cash Balance</t>
  </si>
  <si>
    <t>Minimum Operating Cash</t>
  </si>
  <si>
    <t>$500mm</t>
  </si>
  <si>
    <t>Revolver Draw / (Repay)</t>
  </si>
  <si>
    <t>Liquidity Breach Year</t>
  </si>
  <si>
    <t>Ending Cash Balance</t>
  </si>
  <si>
    <t>Cash Exhaustion Year</t>
  </si>
  <si>
    <r>
      <t>Footnote:</t>
    </r>
    <r>
      <rPr>
        <sz val="12"/>
        <color theme="1"/>
        <rFont val="TimesNewRomanPSMT"/>
        <family val="2"/>
      </rPr>
      <t xml:space="preserve"> Cash flow reflects COVID-19 travel disruption, elevated fixed costs, and full cash interest burden. No asset sales, government support, or covenant relief assumed. Liquidity analysis demonstrates unsustainable standalone capital structure.</t>
    </r>
  </si>
  <si>
    <r>
      <rPr>
        <b/>
        <sz val="12"/>
        <color rgb="FF000000"/>
        <rFont val="TimesNewRomanPSMT"/>
      </rPr>
      <t>Purpose</t>
    </r>
    <r>
      <rPr>
        <sz val="12"/>
        <color rgb="FF000000"/>
        <rFont val="TimesNewRomanPSMT"/>
      </rPr>
      <t xml:space="preserve">: </t>
    </r>
  </si>
  <si>
    <t>Establish enterprise value range to anchor creditor recoveries under restructuring.</t>
  </si>
  <si>
    <t>Enterprise Value Framework</t>
  </si>
  <si>
    <t>Valuation Summary</t>
  </si>
  <si>
    <t>Method</t>
  </si>
  <si>
    <t>Low</t>
  </si>
  <si>
    <t>Base</t>
  </si>
  <si>
    <t>High</t>
  </si>
  <si>
    <t>EBITDA ($mm)</t>
  </si>
  <si>
    <t>EV / EBITDA</t>
  </si>
  <si>
    <t>4.0x</t>
  </si>
  <si>
    <t>4.5x</t>
  </si>
  <si>
    <t>5.0x</t>
  </si>
  <si>
    <t>Enterprise Value ($mm)</t>
  </si>
  <si>
    <t>Fleet Value Sanity Check</t>
  </si>
  <si>
    <t>Value ($mm)</t>
  </si>
  <si>
    <t>Gross Vehicle Fleet</t>
  </si>
  <si>
    <t>Less: ABS Debt</t>
  </si>
  <si>
    <t>Net Fleet Value</t>
  </si>
  <si>
    <t>Valuation reflects distressed market conditions, COVID-impacted demand, and asset-heavy capital structure. EV used solely for recovery analysis.</t>
  </si>
  <si>
    <t>Illustrate balance sheet de-leveraging through debt equitization and impairment</t>
  </si>
  <si>
    <t>Debt Treatment</t>
  </si>
  <si>
    <t xml:space="preserve">Equity Allocations </t>
  </si>
  <si>
    <t>Pre ($mm)</t>
  </si>
  <si>
    <t>Action</t>
  </si>
  <si>
    <t>Post ($mm)</t>
  </si>
  <si>
    <t>Stakeholder</t>
  </si>
  <si>
    <t>Equity %</t>
  </si>
  <si>
    <t>Reinstated</t>
  </si>
  <si>
    <t>First Lien Lenders</t>
  </si>
  <si>
    <t>Extended</t>
  </si>
  <si>
    <t>Second Lien</t>
  </si>
  <si>
    <t>Second Lien Notes</t>
  </si>
  <si>
    <t>Partial Conversion</t>
  </si>
  <si>
    <t>Unsecured Creditors</t>
  </si>
  <si>
    <t>Senior Unsecured Notes</t>
  </si>
  <si>
    <t>Debt-to-Equity</t>
  </si>
  <si>
    <t>Legacy Equity</t>
  </si>
  <si>
    <t>Wiped / Converted</t>
  </si>
  <si>
    <t>Equity allocation illustrative; subject to court approval and negotiated creditor recoveries.</t>
  </si>
  <si>
    <t>Recovery WaterFall</t>
  </si>
  <si>
    <t>Class</t>
  </si>
  <si>
    <t>Claim ($mm)</t>
  </si>
  <si>
    <t>Recovery ($mm)</t>
  </si>
  <si>
    <t>Recovery %</t>
  </si>
  <si>
    <t>ABS Lenders</t>
  </si>
  <si>
    <t>Senior Unsecured</t>
  </si>
  <si>
    <t>Recoveries based on base-case enterprise valuation; ABS lenders structurally senior to corporate creditors.</t>
  </si>
  <si>
    <t>Pupose:</t>
  </si>
  <si>
    <t>Assess sustainability of capital structure post-reorganization.</t>
  </si>
  <si>
    <t>Balance ($mm)</t>
  </si>
  <si>
    <t>Interest</t>
  </si>
  <si>
    <t>Ongoing</t>
  </si>
  <si>
    <t>L + 3.25%</t>
  </si>
  <si>
    <t>Credit Metrics</t>
  </si>
  <si>
    <t>Post-Reorg Credit Profile</t>
  </si>
  <si>
    <t>Debt / EBITDA (2022E)</t>
  </si>
  <si>
    <t>10.4x</t>
  </si>
  <si>
    <t>Capital structure reflects emergence assumptions; leverage remains elevated but liquidity stabilized.</t>
  </si>
  <si>
    <t>Assess creditor recovery sensitivity to valuation and EBITDA downside.</t>
  </si>
  <si>
    <t>Recovery vs Enterprise Value</t>
  </si>
  <si>
    <t>EV ($mm)</t>
  </si>
  <si>
    <t>Unsecured Recovery %</t>
  </si>
  <si>
    <t>EBITDA Downside Sensitivity</t>
  </si>
  <si>
    <t>Recovery vs EBITDA</t>
  </si>
  <si>
    <t>Sensitivities assume constant capital structure and priority of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</si>
</sst>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2"/>
      <color theme="1"/>
      <name val="TimesNewRomanPSMT"/>
      <family val="2"/>
    </font>
    <font>
      <b/>
      <sz val="12"/>
      <color theme="1"/>
      <name val="TimesNewRomanPSMT"/>
    </font>
    <font>
      <b/>
      <sz val="12"/>
      <color theme="1"/>
      <name val="TimesNewRomanPSMT"/>
      <family val="2"/>
    </font>
    <font>
      <b/>
      <sz val="12"/>
      <color rgb="FF002060"/>
      <name val="TimesNewRomanPSMT"/>
      <family val="2"/>
    </font>
    <font>
      <b/>
      <sz val="12"/>
      <color rgb="FF000000"/>
      <name val="TimesNewRomanPSMT"/>
    </font>
    <font>
      <sz val="12"/>
      <color rgb="FF000000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0" fontId="1" fillId="0" borderId="0" xfId="0" applyFont="1"/>
    <xf numFmtId="15" fontId="0" fillId="0" borderId="0" xfId="0" applyNumberFormat="1"/>
    <xf numFmtId="0" fontId="2" fillId="0" borderId="0" xfId="0" applyFont="1"/>
    <xf numFmtId="6" fontId="2" fillId="0" borderId="0" xfId="0" applyNumberFormat="1" applyFont="1"/>
    <xf numFmtId="6" fontId="0" fillId="0" borderId="0" xfId="0" applyNumberFormat="1"/>
    <xf numFmtId="10" fontId="0" fillId="0" borderId="0" xfId="0" applyNumberFormat="1"/>
    <xf numFmtId="9" fontId="2" fillId="0" borderId="0" xfId="0" applyNumberFormat="1" applyFont="1"/>
    <xf numFmtId="0" fontId="3" fillId="0" borderId="0" xfId="0" applyFont="1"/>
    <xf numFmtId="10" fontId="2" fillId="0" borderId="0" xfId="0" applyNumberFormat="1" applyFont="1"/>
    <xf numFmtId="0" fontId="4" fillId="0" borderId="0" xfId="0" applyFont="1"/>
    <xf numFmtId="3" fontId="2" fillId="0" borderId="0" xfId="0" applyNumberFormat="1" applyFont="1"/>
    <xf numFmtId="0" fontId="5" fillId="0" borderId="0" xfId="0" applyFont="1"/>
    <xf numFmtId="3" fontId="0" fillId="0" borderId="0" xfId="0" applyNumberFormat="1"/>
  </cellXfs>
  <cellStyles count="1">
    <cellStyle name="Normal" xfId="0" builtinId="0"/>
  </cellStyles>
  <dxfs count="46">
    <dxf>
      <numFmt numFmtId="13" formatCode="0%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3" formatCode="0%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0BB36F-C1B0-4C7D-B7CF-E111F052A04A}" name="Table9" displayName="Table9" ref="A3:B13" headerRowCount="0" totalsRowShown="0">
  <tableColumns count="2">
    <tableColumn id="1" xr3:uid="{1DFF050D-7F1D-42F2-BF62-705BE35EE4CF}" name="Column1" headerRowDxfId="45" dataDxfId="44"/>
    <tableColumn id="2" xr3:uid="{785FC48F-035B-44D1-9D90-A1E547365678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6D839-813F-9341-BFBE-B3D4E86F6B07}" name="Table1" displayName="Table1" ref="A3:E9" totalsRowShown="0">
  <autoFilter ref="A3:E9" xr:uid="{7D86D839-813F-9341-BFBE-B3D4E86F6B07}"/>
  <tableColumns count="5">
    <tableColumn id="1" xr3:uid="{939E5ADF-207C-B64C-A67E-36A31CDC4016}" name="Instrument" dataDxfId="43"/>
    <tableColumn id="2" xr3:uid="{4E70E9B4-06AC-D64A-973B-F20CB04DD45B}" name="Principal"/>
    <tableColumn id="3" xr3:uid="{291981CD-7C0E-314C-9457-99DD7AD4D62B}" name="Interest Rate"/>
    <tableColumn id="4" xr3:uid="{0B4BAE73-3174-2F4F-9E0D-7BA7AC04CFDB}" name="Maturity"/>
    <tableColumn id="5" xr3:uid="{8515974F-A8EF-0D43-B1C2-38A4C004BDB2}" name="Secure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87E4D5-FB4A-4039-B17C-4440A130A4F9}" name="Table10" displayName="Table10" ref="A12:B16" totalsRowShown="0">
  <autoFilter ref="A12:B16" xr:uid="{3D87E4D5-FB4A-4039-B17C-4440A130A4F9}"/>
  <tableColumns count="2">
    <tableColumn id="1" xr3:uid="{5F2F775A-DA73-44EF-9AB6-8970B482F6C7}" name="Metric"/>
    <tableColumn id="2" xr3:uid="{82306148-50C1-4C3A-98D0-C6DAC1A309D5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ECF75F-81C4-43F0-A208-2B7718FBF2F6}" name="Table11" displayName="Table11" ref="A6:E10" totalsRowShown="0">
  <autoFilter ref="A6:E10" xr:uid="{3FECF75F-81C4-43F0-A208-2B7718FBF2F6}"/>
  <tableColumns count="5">
    <tableColumn id="1" xr3:uid="{47219FD1-D5E0-429A-9BE9-59F7F5762C8A}" name="Operating forecast"/>
    <tableColumn id="2" xr3:uid="{D378199D-5624-42D0-B0CB-6E0BB44D9A77}" name="2019 A"/>
    <tableColumn id="3" xr3:uid="{24E58DE3-A054-4E74-AD9E-B36E2505DEB8}" name="2020 E"/>
    <tableColumn id="4" xr3:uid="{4E4E4303-6AE9-432D-9C96-21BD3D63C289}" name="2021 E "/>
    <tableColumn id="5" xr3:uid="{60F72B93-2636-43FA-9EAA-3B845468EE00}" name="2022 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9C973B-78FE-4AE9-9FA5-6D99F6020288}" name="Table12" displayName="Table12" ref="A13:E17" totalsRowShown="0" dataDxfId="42">
  <autoFilter ref="A13:E17" xr:uid="{D09C973B-78FE-4AE9-9FA5-6D99F6020288}"/>
  <tableColumns count="5">
    <tableColumn id="1" xr3:uid="{6B783DEA-75CD-4CF8-BC1A-1B8EB35D1126}" name="% of Revenue"/>
    <tableColumn id="2" xr3:uid="{A81B856A-D9A4-468E-A2B3-D66862C46F1B}" name="2019 A" dataDxfId="41"/>
    <tableColumn id="3" xr3:uid="{9735B115-7A09-49A6-BD3E-B3D79107FB04}" name="2020E" dataDxfId="40"/>
    <tableColumn id="4" xr3:uid="{E27174B6-10A7-4FEC-BDCB-43C258726AA1}" name="2021 E" dataDxfId="39"/>
    <tableColumn id="5" xr3:uid="{1C42F9C0-2B32-4E3D-AED8-3FE54A7D1710}" name="2022E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2D5BC67-D528-4406-9A72-C6E06F84F5C9}" name="Table13" displayName="Table13" ref="G13:H17" totalsRowShown="0">
  <autoFilter ref="G13:H17" xr:uid="{32D5BC67-D528-4406-9A72-C6E06F84F5C9}"/>
  <tableColumns count="2">
    <tableColumn id="1" xr3:uid="{CD636A43-86AE-4662-B4B1-F7813F61A502}" name="Item"/>
    <tableColumn id="2" xr3:uid="{CC828111-B5B4-4972-A45D-95B20E7EF224}" name="Assumptions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E2D348-30D4-4291-BBF2-1C18D9F25FE3}" name="Table14" displayName="Table14" ref="A3:E9" totalsRowShown="0" headerRowDxfId="36" dataDxfId="35">
  <autoFilter ref="A3:E9" xr:uid="{B5E2D348-30D4-4291-BBF2-1C18D9F25FE3}"/>
  <tableColumns count="5">
    <tableColumn id="1" xr3:uid="{1383288E-C23B-4A48-AF56-1159769D91BD}" name=" Metrics USD (mm)"/>
    <tableColumn id="2" xr3:uid="{B89232A6-B6B0-4552-B724-57C41BECD9AB}" name="2019A" dataDxfId="34"/>
    <tableColumn id="3" xr3:uid="{80A2A4DF-5C8D-4229-840B-7DC262C91747}" name="2020E" dataDxfId="33"/>
    <tableColumn id="4" xr3:uid="{4029453D-DC18-4EE4-A4BB-A700B4682482}" name="2021E" dataDxfId="32"/>
    <tableColumn id="5" xr3:uid="{0071DDFA-19CD-4B50-BC41-B0704A69168D}" name="2022E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A18A2C-9036-44E5-85B6-E7EA4FC267E9}" name="Table15" displayName="Table15" ref="A12:E16" totalsRowShown="0" headerRowDxfId="30">
  <autoFilter ref="A12:E16" xr:uid="{2AA18A2C-9036-44E5-85B6-E7EA4FC267E9}"/>
  <tableColumns count="5">
    <tableColumn id="1" xr3:uid="{8BD37A66-BE64-423E-BEB1-113DB2345AD1}" name=" Metrics USD (mm)"/>
    <tableColumn id="2" xr3:uid="{7B81C6B6-F80C-47F7-B6C5-524B3998E7EB}" name="2019A"/>
    <tableColumn id="3" xr3:uid="{64DCA2E2-BCC6-4D1E-B212-B33248CAED5F}" name="2020E"/>
    <tableColumn id="4" xr3:uid="{BD40EFB1-97D3-4ADC-BB97-ACBAA490D704}" name="2021E" dataDxfId="29"/>
    <tableColumn id="5" xr3:uid="{0C0D6C7E-9249-45FE-A4D3-B3A1908C9FD6}" name="2022E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86ED7BB-DEC7-4650-AFE3-8B4432100170}" name="Table16" displayName="Table16" ref="G13:H16" totalsRowShown="0" headerRowDxfId="27">
  <autoFilter ref="G13:H16" xr:uid="{086ED7BB-DEC7-4650-AFE3-8B4432100170}"/>
  <tableColumns count="2">
    <tableColumn id="1" xr3:uid="{85571F9F-468F-45CF-99E2-5AD257FDB16D}" name="Item"/>
    <tableColumn id="2" xr3:uid="{5F2A9607-140B-4020-83CC-EFF1289E6925}" name="Value" dataDxfId="2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7C81AB-D8CA-43C9-A773-8D9731ED1DC8}" name="Table17" displayName="Table17" ref="A7:D10" totalsRowShown="0" headerRowDxfId="25">
  <autoFilter ref="A7:D10" xr:uid="{2A7C81AB-D8CA-43C9-A773-8D9731ED1DC8}"/>
  <tableColumns count="4">
    <tableColumn id="1" xr3:uid="{DFB6F9FA-26A7-4B33-B047-D5609F601E34}" name="Method"/>
    <tableColumn id="2" xr3:uid="{6593C166-C1F1-4FFB-A430-A1C21A605B1C}" name="Low"/>
    <tableColumn id="3" xr3:uid="{F010FDD6-5D63-4642-80B6-2D8C755F5E0A}" name="Base"/>
    <tableColumn id="4" xr3:uid="{C03B5B18-E716-4483-95C5-C38C2A2FCD07}" name="Hig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B1C9EFC-FD8D-413F-9004-2E26BAA8643C}" name="Table18" displayName="Table18" ref="A14:B17" totalsRowShown="0" headerRowDxfId="24">
  <autoFilter ref="A14:B17" xr:uid="{AB1C9EFC-FD8D-413F-9004-2E26BAA8643C}"/>
  <tableColumns count="2">
    <tableColumn id="1" xr3:uid="{34D71AA5-9017-4A81-8104-A9111AC6C2ED}" name="Item"/>
    <tableColumn id="2" xr3:uid="{75FCB2F0-6E54-4544-A4C9-4ADA40235034}" name="Value ($mm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F850A1-8B0F-B747-9763-916AAA28362D}" name="Table26" displayName="Table26" ref="A2:B3" headerRowCount="0" totalsRowShown="0" headerRowDxfId="23" dataDxfId="22">
  <tableColumns count="2">
    <tableColumn id="1" xr3:uid="{5C885FC2-C74E-634C-AD9C-BCE1212B4939}" name="Column1" headerRowDxfId="21" dataDxfId="20"/>
    <tableColumn id="2" xr3:uid="{660B2A4B-F9BB-7743-B819-C1C0EBBECB7C}" name="Column2" headerRowDxfId="19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7EC36F3-DCA7-4331-AD7B-872CBA301C92}" name="Table19" displayName="Table19" ref="A9:D15" totalsRowShown="0" headerRowDxfId="17">
  <autoFilter ref="A9:D15" xr:uid="{27EC36F3-DCA7-4331-AD7B-872CBA301C92}"/>
  <tableColumns count="4">
    <tableColumn id="1" xr3:uid="{16DD9CBB-CC6A-47E9-95A3-0D3E9236B740}" name="Instrument"/>
    <tableColumn id="2" xr3:uid="{38E3CACC-8ECF-4EB6-9F37-BA4DD67B1F8A}" name="Pre ($mm)"/>
    <tableColumn id="3" xr3:uid="{EFBF5985-8C93-4D9A-953B-DE473FF28382}" name="Action"/>
    <tableColumn id="4" xr3:uid="{5E66A8BD-83C3-4CD6-9867-55C8941F3650}" name="Post ($mm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14A826-F249-45D0-A5A8-73A8B32700B0}" name="Table20" displayName="Table20" ref="F9:G13" totalsRowShown="0" headerRowDxfId="16">
  <autoFilter ref="F9:G13" xr:uid="{0D14A826-F249-45D0-A5A8-73A8B32700B0}"/>
  <tableColumns count="2">
    <tableColumn id="1" xr3:uid="{395FC718-A341-48C9-9464-9E26CE8CC71D}" name="Stakeholder"/>
    <tableColumn id="2" xr3:uid="{7F36DFFC-1648-414C-B570-71B63C4ABAC6}" name="Equity %" dataDxfId="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582E2C-FFBB-5A47-8B5D-547C84A10A01}" name="Table27" displayName="Table27" ref="A2:B3" headerRowCount="0" totalsRowShown="0" headerRowDxfId="14" dataDxfId="13">
  <tableColumns count="2">
    <tableColumn id="1" xr3:uid="{183984A4-95FC-3048-B46B-4DF720B6A6D4}" name="Column1" headerRowDxfId="12" dataDxfId="11"/>
    <tableColumn id="2" xr3:uid="{F410E29A-9A97-2948-9441-1FD0742A6495}" name="Column2" headerRowDxfId="10" dataDxfId="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262E9-85E4-7046-97CA-4AD562D822B8}" name="Table7" displayName="Table7" ref="A6:D11" totalsRowShown="0">
  <autoFilter ref="A6:D11" xr:uid="{9B9262E9-85E4-7046-97CA-4AD562D822B8}"/>
  <tableColumns count="4">
    <tableColumn id="1" xr3:uid="{F4365B39-209D-384E-B466-4E26A9150DDA}" name="Class"/>
    <tableColumn id="2" xr3:uid="{A8350EF4-20A4-C348-8311-2D9F677F6A99}" name="Claim ($mm)"/>
    <tableColumn id="3" xr3:uid="{D17462C4-63C9-B345-B356-9DEC19F57C90}" name="Recovery ($mm)"/>
    <tableColumn id="4" xr3:uid="{74EBA6FF-00A5-AD4F-A51D-B30F2ADEEC28}" name="Recovery %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2EC80D-24C4-4C06-95D3-DD227C81D3A4}" name="Table21" displayName="Table21" ref="A5:D9" totalsRowShown="0" headerRowDxfId="8">
  <autoFilter ref="A5:D9" xr:uid="{F22EC80D-24C4-4C06-95D3-DD227C81D3A4}"/>
  <tableColumns count="4">
    <tableColumn id="1" xr3:uid="{539D4E7A-54DE-4F71-A54E-BEB31850D390}" name="Instrument"/>
    <tableColumn id="2" xr3:uid="{8F429764-E0EA-4847-B2FD-A0CD55E57608}" name="Balance ($mm)"/>
    <tableColumn id="3" xr3:uid="{FB16F691-FAB1-4C5C-AB97-507693F7ABFD}" name="Interest"/>
    <tableColumn id="4" xr3:uid="{B843BEB2-F1A2-49C4-839C-A8281F623040}" name="Maturit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F54C793-0410-489B-A7A5-467CEFD5D0B2}" name="Table22" displayName="Table22" ref="A15:B17" totalsRowShown="0" headerRowDxfId="7">
  <autoFilter ref="A15:B17" xr:uid="{2F54C793-0410-489B-A7A5-467CEFD5D0B2}"/>
  <tableColumns count="2">
    <tableColumn id="1" xr3:uid="{2E805875-D2F1-4F05-B817-2F60388A1DCF}" name="Metric"/>
    <tableColumn id="2" xr3:uid="{230605BD-98E5-4184-8B2E-C2F7CCD530FA}" name="Value" dataDxfId="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B39668D-ABF3-4C82-B5CC-6E60F799AB3E}" name="Table23" displayName="Table23" ref="A5:B8" totalsRowShown="0" headerRowDxfId="5">
  <autoFilter ref="A5:B8" xr:uid="{8B39668D-ABF3-4C82-B5CC-6E60F799AB3E}"/>
  <tableColumns count="2">
    <tableColumn id="1" xr3:uid="{C835AB54-BC6D-4E6B-ABBC-883CFDDA3797}" name="EV ($mm)" dataDxfId="4"/>
    <tableColumn id="2" xr3:uid="{50D3068E-CF31-4E68-B82C-FA1A2E971909}" name="Unsecured Recovery %" dataDxfId="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9AA87B7-472B-425E-BC30-8565C8B21AE8}" name="Table24" displayName="Table24" ref="A13:B16" totalsRowShown="0" headerRowDxfId="2">
  <autoFilter ref="A13:B16" xr:uid="{89AA87B7-472B-425E-BC30-8565C8B21AE8}"/>
  <tableColumns count="2">
    <tableColumn id="1" xr3:uid="{2C0F094F-6485-42A7-8A86-5242870516F9}" name="EBITDA ($mm)" dataDxfId="1"/>
    <tableColumn id="2" xr3:uid="{3CD62809-6412-403F-B81F-0EFD8D09727F}" name="Unsecured Recovery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D555-F066-BC42-B123-57AF6B7F6B3B}">
  <dimension ref="A2:I14"/>
  <sheetViews>
    <sheetView workbookViewId="0">
      <selection activeCell="H16" sqref="H16"/>
    </sheetView>
  </sheetViews>
  <sheetFormatPr baseColWidth="10" defaultColWidth="11.5" defaultRowHeight="16"/>
  <cols>
    <col min="1" max="1" width="36" style="2" customWidth="1"/>
    <col min="2" max="2" width="28.33203125" customWidth="1"/>
    <col min="3" max="3" width="24.33203125" customWidth="1"/>
    <col min="4" max="4" width="21.6640625" customWidth="1"/>
    <col min="5" max="5" width="23.5" customWidth="1"/>
  </cols>
  <sheetData>
    <row r="2" spans="1:9">
      <c r="A2"/>
      <c r="C2" s="2"/>
    </row>
    <row r="3" spans="1:9">
      <c r="A3" s="2" t="s">
        <v>0</v>
      </c>
      <c r="B3" s="2" t="s">
        <v>1</v>
      </c>
    </row>
    <row r="4" spans="1:9">
      <c r="A4" s="2" t="s">
        <v>2</v>
      </c>
      <c r="B4" t="s">
        <v>3</v>
      </c>
    </row>
    <row r="5" spans="1:9">
      <c r="A5" s="2" t="s">
        <v>4</v>
      </c>
      <c r="B5" t="s">
        <v>5</v>
      </c>
      <c r="D5" s="4" t="s">
        <v>6</v>
      </c>
    </row>
    <row r="6" spans="1:9">
      <c r="A6" s="2" t="s">
        <v>7</v>
      </c>
      <c r="B6" t="s">
        <v>8</v>
      </c>
      <c r="D6" t="s">
        <v>9</v>
      </c>
    </row>
    <row r="7" spans="1:9">
      <c r="A7" s="2" t="s">
        <v>10</v>
      </c>
      <c r="B7" s="3">
        <v>43973</v>
      </c>
      <c r="D7" t="s">
        <v>11</v>
      </c>
    </row>
    <row r="8" spans="1:9">
      <c r="A8" s="2" t="s">
        <v>12</v>
      </c>
      <c r="B8" t="s">
        <v>13</v>
      </c>
      <c r="D8" t="s">
        <v>14</v>
      </c>
    </row>
    <row r="9" spans="1:9">
      <c r="A9" s="2" t="s">
        <v>15</v>
      </c>
      <c r="B9" t="s">
        <v>16</v>
      </c>
      <c r="D9" t="s">
        <v>17</v>
      </c>
    </row>
    <row r="10" spans="1:9">
      <c r="A10" s="2" t="s">
        <v>18</v>
      </c>
      <c r="B10" t="s">
        <v>19</v>
      </c>
    </row>
    <row r="11" spans="1:9">
      <c r="A11" s="2" t="s">
        <v>20</v>
      </c>
      <c r="B11" s="6">
        <v>2300</v>
      </c>
    </row>
    <row r="12" spans="1:9">
      <c r="A12" s="2" t="s">
        <v>21</v>
      </c>
      <c r="B12" s="6">
        <v>1000</v>
      </c>
      <c r="G12" s="2"/>
      <c r="H12" s="2"/>
      <c r="I12" s="2"/>
    </row>
    <row r="13" spans="1:9">
      <c r="A13" s="2" t="s">
        <v>23</v>
      </c>
      <c r="B13" s="6">
        <v>19000</v>
      </c>
      <c r="G13" s="2"/>
      <c r="H13" s="2"/>
    </row>
    <row r="14" spans="1:9">
      <c r="G1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0C97-AABD-4454-B277-7BAF88BAC298}">
  <dimension ref="A3:E18"/>
  <sheetViews>
    <sheetView workbookViewId="0">
      <selection activeCell="A22" sqref="A22"/>
    </sheetView>
  </sheetViews>
  <sheetFormatPr baseColWidth="10" defaultColWidth="8.83203125" defaultRowHeight="16"/>
  <cols>
    <col min="1" max="1" width="30.83203125" customWidth="1"/>
    <col min="2" max="2" width="19.5" customWidth="1"/>
    <col min="3" max="3" width="20.6640625" customWidth="1"/>
    <col min="4" max="5" width="18.1640625" customWidth="1"/>
  </cols>
  <sheetData>
    <row r="3" spans="1: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>
      <c r="A4" s="2" t="s">
        <v>31</v>
      </c>
      <c r="B4">
        <v>14000</v>
      </c>
      <c r="C4" s="7">
        <v>3.5000000000000003E-2</v>
      </c>
      <c r="D4" t="s">
        <v>32</v>
      </c>
      <c r="E4" t="s">
        <v>33</v>
      </c>
    </row>
    <row r="5" spans="1:5">
      <c r="A5" s="2" t="s">
        <v>34</v>
      </c>
      <c r="B5">
        <v>1400</v>
      </c>
      <c r="C5" t="s">
        <v>35</v>
      </c>
      <c r="D5">
        <v>2022</v>
      </c>
      <c r="E5" t="s">
        <v>33</v>
      </c>
    </row>
    <row r="6" spans="1:5">
      <c r="A6" s="2" t="s">
        <v>36</v>
      </c>
      <c r="B6">
        <v>400</v>
      </c>
      <c r="C6" s="7">
        <v>5.5E-2</v>
      </c>
      <c r="D6">
        <v>2024</v>
      </c>
      <c r="E6" t="s">
        <v>33</v>
      </c>
    </row>
    <row r="7" spans="1:5">
      <c r="A7" s="2" t="s">
        <v>37</v>
      </c>
      <c r="B7">
        <v>2800</v>
      </c>
      <c r="C7" s="7">
        <v>0.06</v>
      </c>
      <c r="D7" t="s">
        <v>38</v>
      </c>
      <c r="E7" t="s">
        <v>39</v>
      </c>
    </row>
    <row r="8" spans="1:5">
      <c r="A8" s="2" t="s">
        <v>40</v>
      </c>
      <c r="B8">
        <v>600</v>
      </c>
      <c r="C8" s="7">
        <v>5.5E-2</v>
      </c>
      <c r="D8">
        <v>2021</v>
      </c>
      <c r="E8" t="s">
        <v>39</v>
      </c>
    </row>
    <row r="9" spans="1:5">
      <c r="A9" s="2" t="s">
        <v>41</v>
      </c>
      <c r="B9">
        <f>SUM(B4:B8)</f>
        <v>19200</v>
      </c>
    </row>
    <row r="12" spans="1:5">
      <c r="A12" t="s">
        <v>42</v>
      </c>
      <c r="B12" t="s">
        <v>43</v>
      </c>
    </row>
    <row r="13" spans="1:5">
      <c r="A13" t="s">
        <v>44</v>
      </c>
      <c r="B13" s="4" t="s">
        <v>45</v>
      </c>
    </row>
    <row r="14" spans="1:5">
      <c r="A14" t="s">
        <v>46</v>
      </c>
      <c r="B14" s="8">
        <v>0.82</v>
      </c>
    </row>
    <row r="15" spans="1:5">
      <c r="A15" t="s">
        <v>47</v>
      </c>
      <c r="B15" s="5">
        <v>900</v>
      </c>
    </row>
    <row r="16" spans="1:5">
      <c r="A16" t="s">
        <v>48</v>
      </c>
      <c r="B16" s="8">
        <v>0.39</v>
      </c>
    </row>
    <row r="18" spans="1:1">
      <c r="A18" t="s">
        <v>49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C3C2-3F16-4393-A56A-612884EC0A2B}">
  <dimension ref="A2:H22"/>
  <sheetViews>
    <sheetView workbookViewId="0">
      <selection activeCell="C30" sqref="C30"/>
    </sheetView>
  </sheetViews>
  <sheetFormatPr baseColWidth="10" defaultColWidth="8.83203125" defaultRowHeight="16"/>
  <cols>
    <col min="1" max="1" width="32.83203125" customWidth="1"/>
    <col min="3" max="3" width="13.1640625" customWidth="1"/>
    <col min="4" max="4" width="12" customWidth="1"/>
    <col min="5" max="5" width="14" customWidth="1"/>
    <col min="7" max="7" width="23.1640625" customWidth="1"/>
    <col min="8" max="8" width="21" customWidth="1"/>
  </cols>
  <sheetData>
    <row r="2" spans="1:8">
      <c r="A2" s="4" t="s">
        <v>50</v>
      </c>
      <c r="B2" s="2" t="s">
        <v>51</v>
      </c>
    </row>
    <row r="3" spans="1:8">
      <c r="A3" s="4"/>
    </row>
    <row r="4" spans="1:8">
      <c r="A4" s="4" t="s">
        <v>52</v>
      </c>
    </row>
    <row r="6" spans="1:8">
      <c r="A6" t="s">
        <v>53</v>
      </c>
      <c r="B6" t="s">
        <v>54</v>
      </c>
      <c r="C6" t="s">
        <v>55</v>
      </c>
      <c r="D6" t="s">
        <v>56</v>
      </c>
      <c r="E6" t="s">
        <v>57</v>
      </c>
    </row>
    <row r="7" spans="1:8">
      <c r="A7" t="s">
        <v>58</v>
      </c>
      <c r="B7">
        <v>9800</v>
      </c>
      <c r="C7" s="9">
        <v>5200</v>
      </c>
      <c r="D7" s="9">
        <v>7400</v>
      </c>
      <c r="E7" s="9">
        <v>8600</v>
      </c>
    </row>
    <row r="8" spans="1:8">
      <c r="A8" t="s">
        <v>59</v>
      </c>
      <c r="B8" t="s">
        <v>60</v>
      </c>
      <c r="C8" s="1">
        <v>-0.47</v>
      </c>
      <c r="D8" s="1">
        <v>0.42</v>
      </c>
      <c r="E8" s="1">
        <v>0.16</v>
      </c>
    </row>
    <row r="9" spans="1:8">
      <c r="A9" t="s">
        <v>61</v>
      </c>
      <c r="B9">
        <v>2300</v>
      </c>
      <c r="C9" s="9">
        <v>-500</v>
      </c>
      <c r="D9" s="9">
        <v>900</v>
      </c>
      <c r="E9" s="9">
        <v>1500</v>
      </c>
    </row>
    <row r="10" spans="1:8">
      <c r="A10" t="s">
        <v>62</v>
      </c>
      <c r="B10" s="7">
        <v>0.23499999999999999</v>
      </c>
      <c r="C10" s="7">
        <v>-9.6000000000000002E-2</v>
      </c>
      <c r="D10" s="7">
        <v>0.122</v>
      </c>
      <c r="E10" s="7">
        <v>0.17399999999999999</v>
      </c>
    </row>
    <row r="12" spans="1:8">
      <c r="A12" s="11" t="s">
        <v>63</v>
      </c>
      <c r="G12" s="11" t="s">
        <v>64</v>
      </c>
    </row>
    <row r="13" spans="1:8">
      <c r="A13" t="s">
        <v>65</v>
      </c>
      <c r="B13" t="s">
        <v>54</v>
      </c>
      <c r="C13" t="s">
        <v>66</v>
      </c>
      <c r="D13" t="s">
        <v>67</v>
      </c>
      <c r="E13" t="s">
        <v>68</v>
      </c>
      <c r="G13" t="s">
        <v>69</v>
      </c>
      <c r="H13" t="s">
        <v>70</v>
      </c>
    </row>
    <row r="14" spans="1:8">
      <c r="A14" t="s">
        <v>71</v>
      </c>
      <c r="B14" s="1">
        <v>0.38</v>
      </c>
      <c r="C14" s="1">
        <v>0.42</v>
      </c>
      <c r="D14" s="1">
        <v>0.4</v>
      </c>
      <c r="E14" s="1">
        <v>0.39</v>
      </c>
      <c r="G14" t="s">
        <v>72</v>
      </c>
      <c r="H14" s="4" t="s">
        <v>73</v>
      </c>
    </row>
    <row r="15" spans="1:8">
      <c r="A15" t="s">
        <v>74</v>
      </c>
      <c r="B15" s="1">
        <v>0.28999999999999998</v>
      </c>
      <c r="C15" s="1">
        <v>0.33</v>
      </c>
      <c r="D15" s="1">
        <v>0.31</v>
      </c>
      <c r="E15" s="1">
        <v>0.3</v>
      </c>
      <c r="G15" t="s">
        <v>75</v>
      </c>
      <c r="H15" s="4" t="s">
        <v>76</v>
      </c>
    </row>
    <row r="16" spans="1:8">
      <c r="A16" t="s">
        <v>77</v>
      </c>
      <c r="B16" s="1">
        <v>0.09</v>
      </c>
      <c r="C16" s="1">
        <v>0.1</v>
      </c>
      <c r="D16" s="1">
        <v>0.09</v>
      </c>
      <c r="E16" s="1">
        <v>0.09</v>
      </c>
      <c r="G16" t="s">
        <v>78</v>
      </c>
      <c r="H16" s="4" t="s">
        <v>79</v>
      </c>
    </row>
    <row r="17" spans="1:8">
      <c r="A17" s="4" t="s">
        <v>62</v>
      </c>
      <c r="B17" s="10">
        <v>0.23499999999999999</v>
      </c>
      <c r="C17" s="10">
        <v>-9.6000000000000002E-2</v>
      </c>
      <c r="D17" s="10">
        <v>0.122</v>
      </c>
      <c r="E17" s="10">
        <v>0.17399999999999999</v>
      </c>
      <c r="G17" t="s">
        <v>80</v>
      </c>
      <c r="H17" s="4" t="s">
        <v>81</v>
      </c>
    </row>
    <row r="22" spans="1:8">
      <c r="A22" s="2" t="s">
        <v>82</v>
      </c>
      <c r="B22" s="2" t="s">
        <v>83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F44A-F6D0-4C7B-81EC-D3D5B0023DC0}">
  <dimension ref="A1:H18"/>
  <sheetViews>
    <sheetView workbookViewId="0">
      <selection activeCell="A20" sqref="A20"/>
    </sheetView>
  </sheetViews>
  <sheetFormatPr baseColWidth="10" defaultColWidth="8.83203125" defaultRowHeight="16"/>
  <cols>
    <col min="1" max="1" width="31.1640625" customWidth="1"/>
    <col min="7" max="7" width="24.1640625" customWidth="1"/>
    <col min="8" max="8" width="13.5" customWidth="1"/>
  </cols>
  <sheetData>
    <row r="1" spans="1:8">
      <c r="A1" s="13" t="s">
        <v>84</v>
      </c>
      <c r="B1" t="s">
        <v>85</v>
      </c>
    </row>
    <row r="3" spans="1:8">
      <c r="A3" s="4" t="s">
        <v>86</v>
      </c>
      <c r="B3" s="4" t="s">
        <v>87</v>
      </c>
      <c r="C3" s="4" t="s">
        <v>66</v>
      </c>
      <c r="D3" s="4" t="s">
        <v>88</v>
      </c>
      <c r="E3" s="4" t="s">
        <v>68</v>
      </c>
    </row>
    <row r="4" spans="1:8">
      <c r="A4" t="s">
        <v>61</v>
      </c>
      <c r="B4" s="12">
        <v>2300</v>
      </c>
      <c r="C4" s="4">
        <v>-500</v>
      </c>
      <c r="D4" s="4">
        <v>900</v>
      </c>
      <c r="E4" s="12">
        <v>1500</v>
      </c>
    </row>
    <row r="5" spans="1:8">
      <c r="A5" t="s">
        <v>89</v>
      </c>
      <c r="B5" s="4">
        <v>-900</v>
      </c>
      <c r="C5" s="4">
        <v>-850</v>
      </c>
      <c r="D5" s="4">
        <v>-800</v>
      </c>
      <c r="E5" s="4">
        <v>-750</v>
      </c>
    </row>
    <row r="6" spans="1:8">
      <c r="A6" t="s">
        <v>90</v>
      </c>
      <c r="B6" s="4">
        <v>-590</v>
      </c>
      <c r="C6" s="4">
        <v>-310</v>
      </c>
      <c r="D6" s="4">
        <v>-440</v>
      </c>
      <c r="E6" s="4">
        <v>-520</v>
      </c>
    </row>
    <row r="7" spans="1:8">
      <c r="A7" t="s">
        <v>78</v>
      </c>
      <c r="B7" s="4">
        <v>-120</v>
      </c>
      <c r="C7" s="4">
        <v>0</v>
      </c>
      <c r="D7" s="4">
        <v>0</v>
      </c>
      <c r="E7" s="4">
        <v>-60</v>
      </c>
    </row>
    <row r="8" spans="1:8">
      <c r="A8" t="s">
        <v>91</v>
      </c>
      <c r="B8" s="4">
        <v>-50</v>
      </c>
      <c r="C8" s="4">
        <v>200</v>
      </c>
      <c r="D8" s="4">
        <v>-50</v>
      </c>
      <c r="E8" s="4">
        <v>-80</v>
      </c>
    </row>
    <row r="9" spans="1:8">
      <c r="A9" s="4" t="s">
        <v>92</v>
      </c>
      <c r="B9" s="4">
        <v>640</v>
      </c>
      <c r="C9" s="12">
        <v>-1460</v>
      </c>
      <c r="D9" s="4">
        <v>-390</v>
      </c>
      <c r="E9" s="4">
        <v>90</v>
      </c>
    </row>
    <row r="11" spans="1:8">
      <c r="A11" s="11" t="s">
        <v>93</v>
      </c>
    </row>
    <row r="12" spans="1:8">
      <c r="A12" s="4" t="s">
        <v>86</v>
      </c>
      <c r="B12" s="4" t="s">
        <v>87</v>
      </c>
      <c r="C12" s="4" t="s">
        <v>66</v>
      </c>
      <c r="D12" s="4" t="s">
        <v>88</v>
      </c>
      <c r="E12" s="4" t="s">
        <v>68</v>
      </c>
      <c r="G12" s="11" t="s">
        <v>94</v>
      </c>
    </row>
    <row r="13" spans="1:8">
      <c r="A13" t="s">
        <v>95</v>
      </c>
      <c r="B13" s="12">
        <v>1000</v>
      </c>
      <c r="C13" s="12">
        <v>1640</v>
      </c>
      <c r="D13" s="4">
        <v>180</v>
      </c>
      <c r="E13" s="4">
        <v>-210</v>
      </c>
      <c r="G13" s="4" t="s">
        <v>69</v>
      </c>
      <c r="H13" s="4" t="s">
        <v>43</v>
      </c>
    </row>
    <row r="14" spans="1:8">
      <c r="A14" t="s">
        <v>92</v>
      </c>
      <c r="B14" s="4">
        <v>640</v>
      </c>
      <c r="C14" s="12">
        <v>-1460</v>
      </c>
      <c r="D14" s="4">
        <v>-390</v>
      </c>
      <c r="E14" s="4">
        <v>90</v>
      </c>
      <c r="G14" t="s">
        <v>96</v>
      </c>
      <c r="H14" s="4" t="s">
        <v>97</v>
      </c>
    </row>
    <row r="15" spans="1:8">
      <c r="A15" t="s">
        <v>98</v>
      </c>
      <c r="B15" s="4">
        <v>0</v>
      </c>
      <c r="C15" s="4">
        <v>0</v>
      </c>
      <c r="D15" s="4">
        <v>0</v>
      </c>
      <c r="E15" s="4">
        <v>0</v>
      </c>
      <c r="G15" t="s">
        <v>99</v>
      </c>
      <c r="H15" s="4">
        <v>2020</v>
      </c>
    </row>
    <row r="16" spans="1:8">
      <c r="A16" s="4" t="s">
        <v>100</v>
      </c>
      <c r="B16" s="12">
        <v>1640</v>
      </c>
      <c r="C16" s="4">
        <v>180</v>
      </c>
      <c r="D16" s="4">
        <v>-210</v>
      </c>
      <c r="E16" s="4">
        <v>-120</v>
      </c>
      <c r="G16" t="s">
        <v>101</v>
      </c>
      <c r="H16" s="4">
        <v>2021</v>
      </c>
    </row>
    <row r="18" spans="1:1">
      <c r="A18" s="4" t="s">
        <v>102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28D1-4546-434F-9F9F-45D6BD21925B}">
  <dimension ref="A2:D20"/>
  <sheetViews>
    <sheetView workbookViewId="0">
      <selection activeCell="A24" sqref="A24"/>
    </sheetView>
  </sheetViews>
  <sheetFormatPr baseColWidth="10" defaultColWidth="8.83203125" defaultRowHeight="16"/>
  <cols>
    <col min="1" max="1" width="33.6640625" customWidth="1"/>
    <col min="2" max="2" width="13.6640625" bestFit="1" customWidth="1"/>
  </cols>
  <sheetData>
    <row r="2" spans="1:4">
      <c r="A2" s="13" t="s">
        <v>103</v>
      </c>
      <c r="B2" s="11" t="s">
        <v>104</v>
      </c>
    </row>
    <row r="4" spans="1:4">
      <c r="A4" s="11" t="s">
        <v>105</v>
      </c>
    </row>
    <row r="6" spans="1:4">
      <c r="A6" s="11" t="s">
        <v>106</v>
      </c>
    </row>
    <row r="7" spans="1:4">
      <c r="A7" s="4" t="s">
        <v>107</v>
      </c>
      <c r="B7" s="4" t="s">
        <v>108</v>
      </c>
      <c r="C7" s="4" t="s">
        <v>109</v>
      </c>
      <c r="D7" s="4" t="s">
        <v>110</v>
      </c>
    </row>
    <row r="8" spans="1:4">
      <c r="A8" t="s">
        <v>111</v>
      </c>
      <c r="B8" s="14">
        <v>1200</v>
      </c>
      <c r="C8" s="14">
        <v>1500</v>
      </c>
      <c r="D8" s="14">
        <v>1800</v>
      </c>
    </row>
    <row r="9" spans="1:4">
      <c r="A9" t="s">
        <v>112</v>
      </c>
      <c r="B9" t="s">
        <v>113</v>
      </c>
      <c r="C9" t="s">
        <v>114</v>
      </c>
      <c r="D9" t="s">
        <v>115</v>
      </c>
    </row>
    <row r="10" spans="1:4">
      <c r="A10" s="4" t="s">
        <v>116</v>
      </c>
      <c r="B10" s="12">
        <v>4800</v>
      </c>
      <c r="C10" s="12">
        <v>6750</v>
      </c>
      <c r="D10" s="12">
        <v>9000</v>
      </c>
    </row>
    <row r="12" spans="1:4">
      <c r="A12" s="11" t="s">
        <v>117</v>
      </c>
    </row>
    <row r="14" spans="1:4">
      <c r="A14" s="4" t="s">
        <v>69</v>
      </c>
      <c r="B14" s="4" t="s">
        <v>118</v>
      </c>
    </row>
    <row r="15" spans="1:4">
      <c r="A15" t="s">
        <v>119</v>
      </c>
      <c r="B15" s="14">
        <v>12000</v>
      </c>
    </row>
    <row r="16" spans="1:4">
      <c r="A16" t="s">
        <v>120</v>
      </c>
      <c r="B16" s="14">
        <v>-14000</v>
      </c>
    </row>
    <row r="17" spans="1:2">
      <c r="A17" s="4" t="s">
        <v>121</v>
      </c>
      <c r="B17" s="12">
        <v>-2000</v>
      </c>
    </row>
    <row r="20" spans="1:2">
      <c r="A20" s="11" t="s">
        <v>122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82DC-6B8D-C246-BE44-F0E8C3ED44A6}">
  <dimension ref="A2:G17"/>
  <sheetViews>
    <sheetView workbookViewId="0">
      <selection activeCell="A18" sqref="A18"/>
    </sheetView>
  </sheetViews>
  <sheetFormatPr baseColWidth="10" defaultColWidth="11.5" defaultRowHeight="16"/>
  <cols>
    <col min="1" max="1" width="28.6640625" customWidth="1"/>
    <col min="2" max="2" width="20.33203125" customWidth="1"/>
    <col min="3" max="3" width="16.1640625" bestFit="1" customWidth="1"/>
    <col min="4" max="4" width="12.6640625" bestFit="1" customWidth="1"/>
    <col min="6" max="6" width="26" customWidth="1"/>
  </cols>
  <sheetData>
    <row r="2" spans="1:7">
      <c r="A2" s="2" t="s">
        <v>22</v>
      </c>
      <c r="B2" s="2" t="s">
        <v>3</v>
      </c>
      <c r="C2" s="2"/>
    </row>
    <row r="3" spans="1:7">
      <c r="A3" s="2" t="s">
        <v>24</v>
      </c>
      <c r="B3" s="2" t="s">
        <v>25</v>
      </c>
    </row>
    <row r="5" spans="1:7">
      <c r="A5" s="11" t="s">
        <v>50</v>
      </c>
    </row>
    <row r="6" spans="1:7">
      <c r="B6" s="11" t="s">
        <v>123</v>
      </c>
    </row>
    <row r="8" spans="1:7">
      <c r="A8" s="11" t="s">
        <v>124</v>
      </c>
      <c r="F8" s="11" t="s">
        <v>125</v>
      </c>
    </row>
    <row r="9" spans="1:7">
      <c r="A9" s="4" t="s">
        <v>26</v>
      </c>
      <c r="B9" s="4" t="s">
        <v>126</v>
      </c>
      <c r="C9" s="4" t="s">
        <v>127</v>
      </c>
      <c r="D9" s="4" t="s">
        <v>128</v>
      </c>
      <c r="F9" s="4" t="s">
        <v>129</v>
      </c>
      <c r="G9" s="4" t="s">
        <v>130</v>
      </c>
    </row>
    <row r="10" spans="1:7">
      <c r="A10" t="s">
        <v>31</v>
      </c>
      <c r="B10" s="14">
        <v>14000</v>
      </c>
      <c r="C10" t="s">
        <v>131</v>
      </c>
      <c r="D10" s="14">
        <v>14000</v>
      </c>
      <c r="F10" t="s">
        <v>132</v>
      </c>
      <c r="G10" s="1">
        <v>0.3</v>
      </c>
    </row>
    <row r="11" spans="1:7">
      <c r="A11" t="s">
        <v>34</v>
      </c>
      <c r="B11" s="14">
        <v>1400</v>
      </c>
      <c r="C11" t="s">
        <v>133</v>
      </c>
      <c r="D11" s="14">
        <v>1400</v>
      </c>
      <c r="F11" t="s">
        <v>134</v>
      </c>
      <c r="G11" s="1">
        <v>0.2</v>
      </c>
    </row>
    <row r="12" spans="1:7">
      <c r="A12" t="s">
        <v>135</v>
      </c>
      <c r="B12">
        <v>400</v>
      </c>
      <c r="C12" t="s">
        <v>136</v>
      </c>
      <c r="D12">
        <v>200</v>
      </c>
      <c r="F12" t="s">
        <v>137</v>
      </c>
      <c r="G12" s="1">
        <v>0.5</v>
      </c>
    </row>
    <row r="13" spans="1:7">
      <c r="A13" t="s">
        <v>138</v>
      </c>
      <c r="B13" s="14">
        <v>2800</v>
      </c>
      <c r="C13" t="s">
        <v>139</v>
      </c>
      <c r="D13">
        <v>0</v>
      </c>
      <c r="F13" t="s">
        <v>140</v>
      </c>
      <c r="G13" s="1">
        <v>0</v>
      </c>
    </row>
    <row r="14" spans="1:7">
      <c r="A14" t="s">
        <v>40</v>
      </c>
      <c r="B14">
        <v>600</v>
      </c>
      <c r="C14" t="s">
        <v>141</v>
      </c>
      <c r="D14">
        <v>0</v>
      </c>
    </row>
    <row r="15" spans="1:7">
      <c r="A15" s="4" t="s">
        <v>41</v>
      </c>
      <c r="B15" s="12">
        <v>19200</v>
      </c>
      <c r="D15" s="12">
        <v>15600</v>
      </c>
    </row>
    <row r="17" spans="1:1">
      <c r="A17" s="11" t="s">
        <v>142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30E9-1B23-7B4C-A165-34F66E9315CA}">
  <dimension ref="A2:D13"/>
  <sheetViews>
    <sheetView workbookViewId="0">
      <selection activeCell="A17" sqref="A17"/>
    </sheetView>
  </sheetViews>
  <sheetFormatPr baseColWidth="10" defaultColWidth="11.5" defaultRowHeight="16"/>
  <cols>
    <col min="1" max="1" width="20" customWidth="1"/>
    <col min="2" max="2" width="21.1640625" customWidth="1"/>
    <col min="3" max="3" width="19.83203125" customWidth="1"/>
    <col min="4" max="4" width="20" customWidth="1"/>
    <col min="5" max="5" width="21" customWidth="1"/>
  </cols>
  <sheetData>
    <row r="2" spans="1:4">
      <c r="A2" s="2" t="s">
        <v>22</v>
      </c>
      <c r="B2" s="2" t="s">
        <v>3</v>
      </c>
      <c r="C2" s="2"/>
    </row>
    <row r="3" spans="1:4">
      <c r="A3" s="2" t="s">
        <v>24</v>
      </c>
      <c r="B3" s="2" t="s">
        <v>25</v>
      </c>
    </row>
    <row r="5" spans="1:4">
      <c r="A5" s="11" t="s">
        <v>143</v>
      </c>
    </row>
    <row r="6" spans="1:4">
      <c r="A6" s="4" t="s">
        <v>144</v>
      </c>
      <c r="B6" s="4" t="s">
        <v>145</v>
      </c>
      <c r="C6" s="4" t="s">
        <v>146</v>
      </c>
      <c r="D6" s="4" t="s">
        <v>147</v>
      </c>
    </row>
    <row r="7" spans="1:4">
      <c r="A7" t="s">
        <v>148</v>
      </c>
      <c r="B7" s="14">
        <v>14000</v>
      </c>
      <c r="C7" s="14">
        <v>14000</v>
      </c>
      <c r="D7" s="8">
        <v>1</v>
      </c>
    </row>
    <row r="8" spans="1:4">
      <c r="A8" t="s">
        <v>34</v>
      </c>
      <c r="B8" s="14">
        <v>1400</v>
      </c>
      <c r="C8" s="14">
        <v>1400</v>
      </c>
      <c r="D8" s="8">
        <v>1</v>
      </c>
    </row>
    <row r="9" spans="1:4">
      <c r="A9" t="s">
        <v>135</v>
      </c>
      <c r="B9">
        <v>400</v>
      </c>
      <c r="C9">
        <v>200</v>
      </c>
      <c r="D9" s="8">
        <v>0.5</v>
      </c>
    </row>
    <row r="10" spans="1:4">
      <c r="A10" t="s">
        <v>149</v>
      </c>
      <c r="B10" s="14">
        <v>2800</v>
      </c>
      <c r="C10" s="14">
        <v>1150</v>
      </c>
      <c r="D10" s="8">
        <v>0.41</v>
      </c>
    </row>
    <row r="11" spans="1:4">
      <c r="A11" t="s">
        <v>40</v>
      </c>
      <c r="B11">
        <v>600</v>
      </c>
      <c r="C11">
        <v>0</v>
      </c>
      <c r="D11" s="8">
        <v>0</v>
      </c>
    </row>
    <row r="13" spans="1:4">
      <c r="A13" s="11" t="s">
        <v>150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221-4B3C-4911-85CE-E29577DB63A8}">
  <dimension ref="A2:D19"/>
  <sheetViews>
    <sheetView workbookViewId="0">
      <selection activeCell="A22" sqref="A22"/>
    </sheetView>
  </sheetViews>
  <sheetFormatPr baseColWidth="10" defaultColWidth="8.83203125" defaultRowHeight="16"/>
  <cols>
    <col min="1" max="1" width="28.83203125" customWidth="1"/>
    <col min="2" max="2" width="16.5" customWidth="1"/>
    <col min="3" max="4" width="13.5" customWidth="1"/>
  </cols>
  <sheetData>
    <row r="2" spans="1:4">
      <c r="A2" s="11" t="s">
        <v>151</v>
      </c>
      <c r="B2" s="11" t="s">
        <v>152</v>
      </c>
    </row>
    <row r="4" spans="1:4">
      <c r="A4" s="11" t="s">
        <v>25</v>
      </c>
    </row>
    <row r="5" spans="1:4">
      <c r="A5" s="4" t="s">
        <v>26</v>
      </c>
      <c r="B5" s="4" t="s">
        <v>153</v>
      </c>
      <c r="C5" s="4" t="s">
        <v>154</v>
      </c>
      <c r="D5" s="4" t="s">
        <v>29</v>
      </c>
    </row>
    <row r="6" spans="1:4">
      <c r="A6" t="s">
        <v>31</v>
      </c>
      <c r="B6" s="14">
        <v>14000</v>
      </c>
      <c r="C6" s="7">
        <v>3.5000000000000003E-2</v>
      </c>
      <c r="D6" t="s">
        <v>155</v>
      </c>
    </row>
    <row r="7" spans="1:4">
      <c r="A7" t="s">
        <v>34</v>
      </c>
      <c r="B7" s="14">
        <v>1400</v>
      </c>
      <c r="C7" t="s">
        <v>156</v>
      </c>
      <c r="D7">
        <v>2025</v>
      </c>
    </row>
    <row r="8" spans="1:4">
      <c r="A8" t="s">
        <v>134</v>
      </c>
      <c r="B8">
        <v>200</v>
      </c>
      <c r="C8" s="7">
        <v>5.5E-2</v>
      </c>
      <c r="D8">
        <v>2026</v>
      </c>
    </row>
    <row r="9" spans="1:4">
      <c r="A9" s="4" t="s">
        <v>41</v>
      </c>
      <c r="B9" s="12">
        <v>15600</v>
      </c>
    </row>
    <row r="12" spans="1:4">
      <c r="A12" t="s">
        <v>157</v>
      </c>
    </row>
    <row r="14" spans="1:4">
      <c r="A14" s="11" t="s">
        <v>158</v>
      </c>
    </row>
    <row r="15" spans="1:4">
      <c r="A15" s="4" t="s">
        <v>42</v>
      </c>
      <c r="B15" s="4" t="s">
        <v>43</v>
      </c>
    </row>
    <row r="16" spans="1:4">
      <c r="A16" t="s">
        <v>159</v>
      </c>
      <c r="B16" s="4" t="s">
        <v>160</v>
      </c>
    </row>
    <row r="17" spans="1:2">
      <c r="A17" t="s">
        <v>48</v>
      </c>
      <c r="B17" s="8">
        <v>0.55000000000000004</v>
      </c>
    </row>
    <row r="19" spans="1:2">
      <c r="A19" s="11" t="s">
        <v>161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F401-42B4-4027-8217-33E63080D7F1}">
  <dimension ref="A2:B18"/>
  <sheetViews>
    <sheetView tabSelected="1" workbookViewId="0">
      <selection activeCell="A23" sqref="A23"/>
    </sheetView>
  </sheetViews>
  <sheetFormatPr baseColWidth="10" defaultColWidth="8.83203125" defaultRowHeight="16"/>
  <cols>
    <col min="1" max="1" width="30" customWidth="1"/>
    <col min="2" max="2" width="24.33203125" customWidth="1"/>
  </cols>
  <sheetData>
    <row r="2" spans="1:2">
      <c r="A2" t="s">
        <v>50</v>
      </c>
      <c r="B2" s="11" t="s">
        <v>162</v>
      </c>
    </row>
    <row r="4" spans="1:2">
      <c r="A4" s="11" t="s">
        <v>163</v>
      </c>
    </row>
    <row r="5" spans="1:2">
      <c r="A5" s="4" t="s">
        <v>164</v>
      </c>
      <c r="B5" s="4" t="s">
        <v>165</v>
      </c>
    </row>
    <row r="6" spans="1:2">
      <c r="A6" s="14">
        <v>5000</v>
      </c>
      <c r="B6" s="1">
        <v>0.2</v>
      </c>
    </row>
    <row r="7" spans="1:2">
      <c r="A7" s="14">
        <v>6750</v>
      </c>
      <c r="B7" s="1">
        <v>0.41</v>
      </c>
    </row>
    <row r="8" spans="1:2">
      <c r="A8" s="14">
        <v>8500</v>
      </c>
      <c r="B8" s="1">
        <v>0.6</v>
      </c>
    </row>
    <row r="10" spans="1:2">
      <c r="A10" s="11" t="s">
        <v>166</v>
      </c>
    </row>
    <row r="12" spans="1:2">
      <c r="A12" s="11" t="s">
        <v>167</v>
      </c>
    </row>
    <row r="13" spans="1:2">
      <c r="A13" s="4" t="s">
        <v>111</v>
      </c>
      <c r="B13" s="4" t="s">
        <v>165</v>
      </c>
    </row>
    <row r="14" spans="1:2">
      <c r="A14" s="14">
        <v>1200</v>
      </c>
      <c r="B14" s="1">
        <v>0.25</v>
      </c>
    </row>
    <row r="15" spans="1:2">
      <c r="A15" s="14">
        <v>1500</v>
      </c>
      <c r="B15" s="1">
        <v>0.41</v>
      </c>
    </row>
    <row r="16" spans="1:2">
      <c r="A16" s="14">
        <v>1800</v>
      </c>
      <c r="B16" s="1">
        <v>0.57999999999999996</v>
      </c>
    </row>
    <row r="18" spans="1:1">
      <c r="A18" s="11" t="s">
        <v>168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Situation Overview &amp; Key Assump</vt:lpstr>
      <vt:lpstr>Pre Petition Capital Structure</vt:lpstr>
      <vt:lpstr>Operating Forecast</vt:lpstr>
      <vt:lpstr>Free Cash flow &amp; Liquidity</vt:lpstr>
      <vt:lpstr>Valuation Anchor</vt:lpstr>
      <vt:lpstr>Restructuring Mechanics</vt:lpstr>
      <vt:lpstr>Recovery Waterfall</vt:lpstr>
      <vt:lpstr>Post restructuring Capital Stru</vt:lpstr>
      <vt:lpstr>Sensitivity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Gaurav</dc:creator>
  <cp:keywords/>
  <dc:description/>
  <cp:lastModifiedBy>. Gaurav</cp:lastModifiedBy>
  <cp:revision/>
  <dcterms:created xsi:type="dcterms:W3CDTF">2026-01-08T18:51:24Z</dcterms:created>
  <dcterms:modified xsi:type="dcterms:W3CDTF">2026-01-30T04:00:26Z</dcterms:modified>
  <cp:category/>
  <cp:contentStatus/>
</cp:coreProperties>
</file>