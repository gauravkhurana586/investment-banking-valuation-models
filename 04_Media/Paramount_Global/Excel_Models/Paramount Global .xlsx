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1E56BFB4-EBF1-4EC8-9BC8-29797AEA74F6}" xr6:coauthVersionLast="47" xr6:coauthVersionMax="47" xr10:uidLastSave="{00000000-0000-0000-0000-000000000000}"/>
  <bookViews>
    <workbookView xWindow="0" yWindow="0" windowWidth="0" windowHeight="0" firstSheet="8" activeTab="8" xr2:uid="{00000000-000D-0000-FFFF-FFFF00000000}"/>
  </bookViews>
  <sheets>
    <sheet name="Trading Comps." sheetId="1" r:id="rId1"/>
    <sheet name="Control &amp; Company Overview" sheetId="5" r:id="rId2"/>
    <sheet name="Business Segment &amp; Revenue Driv" sheetId="6" r:id="rId3"/>
    <sheet name="Operating Performance" sheetId="7" r:id="rId4"/>
    <sheet name="DCF- Core Valuation" sheetId="8" r:id="rId5"/>
    <sheet name="Break Up Analysis" sheetId="9" r:id="rId6"/>
    <sheet name="Trading Comps &amp; Cross Check" sheetId="10" r:id="rId7"/>
    <sheet name="Valuation Summary &amp; Reconciliat" sheetId="11" r:id="rId8"/>
    <sheet name="Precedent Trasactions (Media)" sheetId="2" r:id="rId9"/>
    <sheet name="Key Risks &amp; Stratergic Consider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G10" i="1" s="1"/>
  <c r="E9" i="1"/>
  <c r="G9" i="1" s="1"/>
  <c r="E8" i="1"/>
  <c r="G8" i="1" s="1"/>
  <c r="E7" i="1"/>
  <c r="G7" i="1" s="1"/>
  <c r="E6" i="1"/>
  <c r="G6" i="1" s="1"/>
  <c r="E5" i="1"/>
  <c r="G5" i="1" s="1"/>
  <c r="D14" i="1" s="1"/>
  <c r="E15" i="1" l="1"/>
  <c r="D15" i="1"/>
  <c r="E16" i="1"/>
  <c r="D16" i="1"/>
  <c r="E17" i="1"/>
  <c r="D17" i="1"/>
  <c r="E18" i="1"/>
  <c r="D18" i="1"/>
  <c r="E19" i="1"/>
  <c r="D19" i="1"/>
  <c r="B24" i="1" l="1"/>
  <c r="B23" i="1"/>
  <c r="B22" i="1"/>
  <c r="C24" i="1"/>
  <c r="B29" i="1" s="1"/>
  <c r="B34" i="1" s="1"/>
  <c r="C23" i="1"/>
  <c r="B28" i="1" s="1"/>
  <c r="B33" i="1" s="1"/>
  <c r="C22" i="1"/>
  <c r="B27" i="1" s="1"/>
  <c r="B32" i="1" s="1"/>
</calcChain>
</file>

<file path=xl/sharedStrings.xml><?xml version="1.0" encoding="utf-8"?>
<sst xmlns="http://schemas.openxmlformats.org/spreadsheetml/2006/main" count="404" uniqueCount="295">
  <si>
    <t>Target</t>
  </si>
  <si>
    <t>Paramount Global</t>
  </si>
  <si>
    <t>Company</t>
  </si>
  <si>
    <t>Ticker Symbol</t>
  </si>
  <si>
    <t>Share Price</t>
  </si>
  <si>
    <t>Share Out</t>
  </si>
  <si>
    <t>Market Cap</t>
  </si>
  <si>
    <t>Net Debt</t>
  </si>
  <si>
    <t>Enterprsie Value</t>
  </si>
  <si>
    <t>Walt Disney Company</t>
  </si>
  <si>
    <t>DIS</t>
  </si>
  <si>
    <t>Netflix</t>
  </si>
  <si>
    <t>NFLX</t>
  </si>
  <si>
    <t>Warner Bros. Discovery</t>
  </si>
  <si>
    <t>WBD</t>
  </si>
  <si>
    <t>Fox</t>
  </si>
  <si>
    <t>FOX</t>
  </si>
  <si>
    <t>Comcast</t>
  </si>
  <si>
    <t>CMCSA</t>
  </si>
  <si>
    <t>PARA</t>
  </si>
  <si>
    <t>Operating Metrics</t>
  </si>
  <si>
    <t>LTM Revnue</t>
  </si>
  <si>
    <t>LTM  EBITDA</t>
  </si>
  <si>
    <t>EV/ Revenue</t>
  </si>
  <si>
    <t>EV/ EBITDA</t>
  </si>
  <si>
    <t>NM</t>
  </si>
  <si>
    <t>Multiple Statistics</t>
  </si>
  <si>
    <t>EV/ Revenuee</t>
  </si>
  <si>
    <t>Minimum</t>
  </si>
  <si>
    <t>Medaian</t>
  </si>
  <si>
    <t>Maximum</t>
  </si>
  <si>
    <t>Implied Valuation of Paramount</t>
  </si>
  <si>
    <t>EV/ EBITDA Min</t>
  </si>
  <si>
    <t>EV/ EBITDA Median</t>
  </si>
  <si>
    <t>EV/ EBITDA Maximum</t>
  </si>
  <si>
    <t>Implied Equity Value</t>
  </si>
  <si>
    <t>Low</t>
  </si>
  <si>
    <t>Median</t>
  </si>
  <si>
    <t>Company Overview</t>
  </si>
  <si>
    <t>Operating Segments</t>
  </si>
  <si>
    <t>Item</t>
  </si>
  <si>
    <t>Detail</t>
  </si>
  <si>
    <t>Segment</t>
  </si>
  <si>
    <t>Description</t>
  </si>
  <si>
    <t>TV Media</t>
  </si>
  <si>
    <t xml:space="preserve">CBS broadcast network, cable channels </t>
  </si>
  <si>
    <t>Headquarters</t>
  </si>
  <si>
    <t>New York, NY</t>
  </si>
  <si>
    <t>Direct-to-Consumer</t>
  </si>
  <si>
    <t>Paramount+ and Pluto TV</t>
  </si>
  <si>
    <t>Founded</t>
  </si>
  <si>
    <t>1912 (Paramount Pictures)</t>
  </si>
  <si>
    <t>Filmed Entertainment</t>
  </si>
  <si>
    <t>Paramount Pictures, TV production &amp; licensing</t>
  </si>
  <si>
    <t>Core Businesses</t>
  </si>
  <si>
    <t>Film &amp; TV studios, broadcast, cable, streaming</t>
  </si>
  <si>
    <t>Ticker</t>
  </si>
  <si>
    <t>Ownership</t>
  </si>
  <si>
    <t xml:space="preserve">National Amusements </t>
  </si>
  <si>
    <t>Metric</t>
  </si>
  <si>
    <t xml:space="preserve">Value </t>
  </si>
  <si>
    <t>Revenue</t>
  </si>
  <si>
    <t>$30bn</t>
  </si>
  <si>
    <t>EBITDA</t>
  </si>
  <si>
    <t>$4.0bn</t>
  </si>
  <si>
    <t>EBITDA Margin</t>
  </si>
  <si>
    <t>$15bn</t>
  </si>
  <si>
    <t>Market Capitalization</t>
  </si>
  <si>
    <t>$8–9bn</t>
  </si>
  <si>
    <t>Enterprise Value</t>
  </si>
  <si>
    <t>$23–24bn</t>
  </si>
  <si>
    <t>Paramount Global represents a content-driven media platform with significant strategic optionality,</t>
  </si>
  <si>
    <t>where valuation is better assessed through break-up and strategic buyer frameworks rather than standalone cash flow alone.</t>
  </si>
  <si>
    <t>LTM Revenue Mix</t>
  </si>
  <si>
    <t>Revenue by Segment</t>
  </si>
  <si>
    <t>Revenue ($bn)</t>
  </si>
  <si>
    <t>% of Total</t>
  </si>
  <si>
    <t>TV Media (CBS + Cable)</t>
  </si>
  <si>
    <t>Direct-to-Consumer (Streaming)</t>
  </si>
  <si>
    <t>Total Revenue</t>
  </si>
  <si>
    <t>EBITDA Contribution</t>
  </si>
  <si>
    <t>Segment EBITDA Contribution</t>
  </si>
  <si>
    <t>EBITDA ($bn)</t>
  </si>
  <si>
    <t>Margin</t>
  </si>
  <si>
    <t>Negative</t>
  </si>
  <si>
    <t>Corporate / Other</t>
  </si>
  <si>
    <t>(0.0–0.5)</t>
  </si>
  <si>
    <t>—</t>
  </si>
  <si>
    <t>~20%</t>
  </si>
  <si>
    <t>Total EBITDA</t>
  </si>
  <si>
    <t>Streaming Economics</t>
  </si>
  <si>
    <t>Direct-to-Consumer Snapshot</t>
  </si>
  <si>
    <t>Column1</t>
  </si>
  <si>
    <t>Value</t>
  </si>
  <si>
    <t>Subscribers</t>
  </si>
  <si>
    <t>70–75m</t>
  </si>
  <si>
    <t>ARPU (annualized)</t>
  </si>
  <si>
    <t>$80–85</t>
  </si>
  <si>
    <t>$6.0bn</t>
  </si>
  <si>
    <t>(1.8)bn</t>
  </si>
  <si>
    <t>TV Media &amp; Studios Characteristics</t>
  </si>
  <si>
    <t>Primary Revenue Drivers</t>
  </si>
  <si>
    <t>Advertising + affiliate fees drive cash flow</t>
  </si>
  <si>
    <t>Key Drivers</t>
  </si>
  <si>
    <t>Sports rights support CBS network value</t>
  </si>
  <si>
    <t>Advertising demand, affiliate fees, sports rights</t>
  </si>
  <si>
    <t>Content library monetization through licensing</t>
  </si>
  <si>
    <t>Streaming</t>
  </si>
  <si>
    <t>Subscriber growth, pricing, churn reduction</t>
  </si>
  <si>
    <t>Strong free cash flow despite secular pressure</t>
  </si>
  <si>
    <t>Studios</t>
  </si>
  <si>
    <t>Box office, licensing, production volume</t>
  </si>
  <si>
    <t xml:space="preserve">Paramount’s consolidated results obscure the underlying profitability of its legacy assets, as streaming </t>
  </si>
  <si>
    <t>investment losses temporarily depress reported EBITDA despite stable cash generation from TV Media and Studios.</t>
  </si>
  <si>
    <t>EBITDA Bridge</t>
  </si>
  <si>
    <t>USD (bn)</t>
  </si>
  <si>
    <t>Amount</t>
  </si>
  <si>
    <t>TV Media EBITDA</t>
  </si>
  <si>
    <t>Filmed Entertainment EBITDA</t>
  </si>
  <si>
    <t>Direct-to-Consumer EBITDA</t>
  </si>
  <si>
    <t>Consolidated EBITDA</t>
  </si>
  <si>
    <t>Streaming Loss Decomposition</t>
  </si>
  <si>
    <t>Direct-to-Consumer Cost Structure</t>
  </si>
  <si>
    <t>Commentary</t>
  </si>
  <si>
    <t>Content Spend</t>
  </si>
  <si>
    <t>High upfront, amortized over time</t>
  </si>
  <si>
    <t>Marketing</t>
  </si>
  <si>
    <t>Elevated during growth phase</t>
  </si>
  <si>
    <t>Platform Costs</t>
  </si>
  <si>
    <t>Largely fixed, scale-driven</t>
  </si>
  <si>
    <t>Churn</t>
  </si>
  <si>
    <t>Improving as library deepens</t>
  </si>
  <si>
    <t>DTC EBITDA Progression</t>
  </si>
  <si>
    <t>Year</t>
  </si>
  <si>
    <t>Subscribers (m)</t>
  </si>
  <si>
    <t>LTM</t>
  </si>
  <si>
    <t>Year 1</t>
  </si>
  <si>
    <t>Year 2</t>
  </si>
  <si>
    <t>Year 3</t>
  </si>
  <si>
    <t>TV Media &amp; Studios — Cash Characteristics</t>
  </si>
  <si>
    <t>Driver</t>
  </si>
  <si>
    <t>Impact</t>
  </si>
  <si>
    <t>Streaming scale</t>
  </si>
  <si>
    <t>High</t>
  </si>
  <si>
    <t>Advertising cyclicality but resilient base</t>
  </si>
  <si>
    <t>Marketing normalization</t>
  </si>
  <si>
    <t>Medium</t>
  </si>
  <si>
    <t>Affiliate fees provide recurring revenue</t>
  </si>
  <si>
    <t>Content amortization</t>
  </si>
  <si>
    <t>Sports rights underpin CBS relevance</t>
  </si>
  <si>
    <t>Advertising recovery</t>
  </si>
  <si>
    <t>Moderate</t>
  </si>
  <si>
    <t>Content library continues monetization</t>
  </si>
  <si>
    <t>Key DCF Assumptions</t>
  </si>
  <si>
    <t>Discount Rate Assumptions</t>
  </si>
  <si>
    <t>Assumption</t>
  </si>
  <si>
    <t>Input</t>
  </si>
  <si>
    <t>Revenue Growth (5-yr CAGR)</t>
  </si>
  <si>
    <t>Risk-Free Rate</t>
  </si>
  <si>
    <t>EBITDA Margin (Steady-State)</t>
  </si>
  <si>
    <t>16–17%</t>
  </si>
  <si>
    <t>Equity Risk Premium</t>
  </si>
  <si>
    <t>Breakeven by Year 3</t>
  </si>
  <si>
    <t>Beta</t>
  </si>
  <si>
    <t>Capex (% Revenue)</t>
  </si>
  <si>
    <t>Cost of Equity</t>
  </si>
  <si>
    <t>Cash Tax Rate</t>
  </si>
  <si>
    <t>After-Tax Cost of Debt</t>
  </si>
  <si>
    <t>Target Capital Structure</t>
  </si>
  <si>
    <t>60% Debt / 40% Equity</t>
  </si>
  <si>
    <t>WACC</t>
  </si>
  <si>
    <t>8.8–9.2%</t>
  </si>
  <si>
    <t>Unlevered Free Cash Flow</t>
  </si>
  <si>
    <t>Y1</t>
  </si>
  <si>
    <t>Y2</t>
  </si>
  <si>
    <t>Y3</t>
  </si>
  <si>
    <t>Y4</t>
  </si>
  <si>
    <t>Y5</t>
  </si>
  <si>
    <t>UFCF</t>
  </si>
  <si>
    <t>Terminal Assumptions</t>
  </si>
  <si>
    <t>DCF Valuation Summary</t>
  </si>
  <si>
    <t>Terminal Growth Rate</t>
  </si>
  <si>
    <t>PV of Explicit FCF</t>
  </si>
  <si>
    <t>$11bn</t>
  </si>
  <si>
    <t>Terminal UFCF</t>
  </si>
  <si>
    <t>PV of Terminal Value</t>
  </si>
  <si>
    <t>$28bn</t>
  </si>
  <si>
    <t>$39bn</t>
  </si>
  <si>
    <t>Terminal Value</t>
  </si>
  <si>
    <t>$48bn</t>
  </si>
  <si>
    <t>Less: Net Debt</t>
  </si>
  <si>
    <t>$24bn</t>
  </si>
  <si>
    <t>Shares Outstanding</t>
  </si>
  <si>
    <t>650m</t>
  </si>
  <si>
    <t>Implied Share Price</t>
  </si>
  <si>
    <t xml:space="preserve">The DCF implies equity value materially above current trading levels, despite conservative assumptions. </t>
  </si>
  <si>
    <t>However, it likely understates Paramount’s intrinsic value given the exclusion of break-up and strategic optionality.</t>
  </si>
  <si>
    <t>Sum of the Parts Valuation</t>
  </si>
  <si>
    <t>Multiple / Method</t>
  </si>
  <si>
    <t>Implied EV ($bn)</t>
  </si>
  <si>
    <t>EBITDA $5.0bn</t>
  </si>
  <si>
    <t>6.0x</t>
  </si>
  <si>
    <t>EBITDA $0.8bn</t>
  </si>
  <si>
    <t>8.0x</t>
  </si>
  <si>
    <t>Revenue $6.0bn</t>
  </si>
  <si>
    <t>2.0x Rev</t>
  </si>
  <si>
    <t>Gross Asset Value</t>
  </si>
  <si>
    <t>Valuation Rationale</t>
  </si>
  <si>
    <t>TV Media (6.0x EBITDA)</t>
  </si>
  <si>
    <t>Mature, cash-generative broadcast &amp; cable assets</t>
  </si>
  <si>
    <t>Structural headwinds offset by affiliate fees and sports rights</t>
  </si>
  <si>
    <t>$33.5bn</t>
  </si>
  <si>
    <t>Filmed Entertainment (8.0x EBITDA)</t>
  </si>
  <si>
    <t>Scarce studio assets with long-lived content libraries</t>
  </si>
  <si>
    <t>Valuation supported by recent studio transactions</t>
  </si>
  <si>
    <t>Direct-to-Consumer (2.0x Revenue)</t>
  </si>
  <si>
    <t>Loss-making but high strategic value</t>
  </si>
  <si>
    <t>Revenue multiple reflects scale, IP depth, and platform optionality</t>
  </si>
  <si>
    <t>DCF vs Stop Reconciliation</t>
  </si>
  <si>
    <t>Method</t>
  </si>
  <si>
    <t>Implied Value</t>
  </si>
  <si>
    <t>Standalone DCF</t>
  </si>
  <si>
    <t>SOTP</t>
  </si>
  <si>
    <t>Current Trading (historical)</t>
  </si>
  <si>
    <t>~$12–15</t>
  </si>
  <si>
    <t>Trading Multiple Table</t>
  </si>
  <si>
    <t>EV / EBITDA</t>
  </si>
  <si>
    <t>EV / Revenue</t>
  </si>
  <si>
    <t>7.0x</t>
  </si>
  <si>
    <t>1.3x</t>
  </si>
  <si>
    <t>Fox Corp</t>
  </si>
  <si>
    <t>6.5x</t>
  </si>
  <si>
    <t>1.8x</t>
  </si>
  <si>
    <t>18.0x</t>
  </si>
  <si>
    <t>4.5x</t>
  </si>
  <si>
    <t>Disney</t>
  </si>
  <si>
    <t>10.0x</t>
  </si>
  <si>
    <t>2.2x</t>
  </si>
  <si>
    <t>Peer Median (ex-Netflix)</t>
  </si>
  <si>
    <t>1.7x</t>
  </si>
  <si>
    <t>Paramount (Current)</t>
  </si>
  <si>
    <t>5.5x</t>
  </si>
  <si>
    <t>0.8x</t>
  </si>
  <si>
    <t>Implied Valuation</t>
  </si>
  <si>
    <t>Peer Median EV / EBITDA</t>
  </si>
  <si>
    <t>Implied EV</t>
  </si>
  <si>
    <t>Current EV</t>
  </si>
  <si>
    <t>Trading multiples imply Paramount is valued at a discount to peers, reinforcing the case that public markets</t>
  </si>
  <si>
    <t>are underappreciating the value of its core media assets.</t>
  </si>
  <si>
    <t xml:space="preserve"> VALUATION SUMMARY TABLE</t>
  </si>
  <si>
    <t>~$24bn</t>
  </si>
  <si>
    <t>~$37</t>
  </si>
  <si>
    <t>Trading Comps</t>
  </si>
  <si>
    <t>~$18–22bn</t>
  </si>
  <si>
    <t>~$28–34</t>
  </si>
  <si>
    <t>Break-Up / SOTP</t>
  </si>
  <si>
    <t>~$33.5bn</t>
  </si>
  <si>
    <t>~$52</t>
  </si>
  <si>
    <t>Current Market (Historical)</t>
  </si>
  <si>
    <t>~$8–10bn</t>
  </si>
  <si>
    <t>DCF establishes a conservative valuation floor, while trading multiples and SOTP analysis highlight meaningful upside</t>
  </si>
  <si>
    <t>driven by asset value and strategic optionality not reflected in current market pricing.</t>
  </si>
  <si>
    <t>Precedent Trasactions</t>
  </si>
  <si>
    <t>Precedent transactions are presented for directional context only, as transaction valuations in media and content</t>
  </si>
  <si>
    <t>are highly dependent on strategic rationale, control dynamics, and asset mix.</t>
  </si>
  <si>
    <t>Acquirer</t>
  </si>
  <si>
    <t>Asset Type</t>
  </si>
  <si>
    <t>21st Century Fox</t>
  </si>
  <si>
    <t>Studio + Content IP</t>
  </si>
  <si>
    <t>~11.0x</t>
  </si>
  <si>
    <t>~2.5x</t>
  </si>
  <si>
    <t>Amazon</t>
  </si>
  <si>
    <t>MGM Studios</t>
  </si>
  <si>
    <t>Film Library</t>
  </si>
  <si>
    <t>~12.0x</t>
  </si>
  <si>
    <t>~4.0x</t>
  </si>
  <si>
    <t>AT&amp;T</t>
  </si>
  <si>
    <t>Time Warner</t>
  </si>
  <si>
    <t>Media Platform</t>
  </si>
  <si>
    <t>~10.0x</t>
  </si>
  <si>
    <t>~2.0x</t>
  </si>
  <si>
    <t>Sony</t>
  </si>
  <si>
    <t>Crunchyroll</t>
  </si>
  <si>
    <t>Streaming / Anime IP</t>
  </si>
  <si>
    <t>~3–4x</t>
  </si>
  <si>
    <t>~3.0x</t>
  </si>
  <si>
    <t>Viacom</t>
  </si>
  <si>
    <t>CBS</t>
  </si>
  <si>
    <t>Broadcast + Content</t>
  </si>
  <si>
    <t>~9–10x</t>
  </si>
  <si>
    <t>~1.8x</t>
  </si>
  <si>
    <t>These transactions support the plausibility of upside implied by break-up and strategic buyer frameworks</t>
  </si>
  <si>
    <t>for Paramount Global, but do not serve as a standalone valuation anchor.</t>
  </si>
  <si>
    <t>Key Risks</t>
  </si>
  <si>
    <t>Mitigations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</si>
</sst>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"/>
  </numFmts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Times New Roman"/>
    </font>
    <font>
      <sz val="10"/>
      <color theme="1"/>
      <name val="Arial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2"/>
      <color rgb="FF000000"/>
      <name val="Times New Roman"/>
    </font>
    <font>
      <sz val="12"/>
      <color rgb="FF000000"/>
      <name val="Arial"/>
      <scheme val="minor"/>
    </font>
    <font>
      <b/>
      <sz val="12"/>
      <color rgb="FF000000"/>
      <name val="Times New Roman"/>
    </font>
    <font>
      <b/>
      <sz val="12"/>
      <color rgb="FF002060"/>
      <name val="Times New Roman"/>
    </font>
    <font>
      <b/>
      <sz val="12"/>
      <color theme="1"/>
      <name val="Times New Roman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  <xf numFmtId="9" fontId="4" fillId="0" borderId="0" xfId="0" applyNumberFormat="1" applyFont="1"/>
    <xf numFmtId="8" fontId="4" fillId="0" borderId="0" xfId="0" applyNumberFormat="1" applyFont="1"/>
    <xf numFmtId="10" fontId="4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6" fontId="9" fillId="0" borderId="0" xfId="0" applyNumberFormat="1" applyFont="1"/>
    <xf numFmtId="6" fontId="6" fillId="0" borderId="0" xfId="0" applyNumberFormat="1" applyFont="1"/>
    <xf numFmtId="0" fontId="8" fillId="2" borderId="0" xfId="0" applyFont="1" applyFill="1" applyAlignment="1">
      <alignment wrapText="1"/>
    </xf>
    <xf numFmtId="9" fontId="6" fillId="0" borderId="0" xfId="0" applyNumberFormat="1" applyFont="1"/>
    <xf numFmtId="8" fontId="6" fillId="0" borderId="0" xfId="0" applyNumberFormat="1" applyFont="1"/>
    <xf numFmtId="10" fontId="6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4" fontId="11" fillId="0" borderId="0" xfId="0" applyNumberFormat="1" applyFont="1"/>
  </cellXfs>
  <cellStyles count="1">
    <cellStyle name="Normal" xfId="0" builtinId="0"/>
  </cellStyles>
  <dxfs count="122"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inor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b val="0"/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b val="0"/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  <numFmt numFmtId="13" formatCode="0%"/>
    </dxf>
    <dxf>
      <font>
        <sz val="12"/>
        <name val="Times New Roman"/>
      </font>
      <numFmt numFmtId="12" formatCode="&quot;$&quot;#,##0.00_);[Red]\(&quot;$&quot;#,##0.00\)"/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inor"/>
      </font>
    </dxf>
    <dxf>
      <font>
        <sz val="12"/>
        <name val="Times New Roman"/>
      </font>
    </dxf>
    <dxf>
      <font>
        <sz val="12"/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minor"/>
      </font>
    </dxf>
    <dxf>
      <font>
        <name val="Times New Roman"/>
      </font>
    </dxf>
    <dxf>
      <font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minor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sz val="12"/>
        <name val="Times New Roman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152400</xdr:rowOff>
    </xdr:from>
    <xdr:to>
      <xdr:col>6</xdr:col>
      <xdr:colOff>123825</xdr:colOff>
      <xdr:row>33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226A53-0C0E-3544-D8FE-2A1D8D5C6C8A}"/>
            </a:ext>
          </a:extLst>
        </xdr:cNvPr>
        <xdr:cNvSpPr txBox="1"/>
      </xdr:nvSpPr>
      <xdr:spPr>
        <a:xfrm>
          <a:off x="4305300" y="3714750"/>
          <a:ext cx="2543175" cy="2286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TV Media &amp; Studios Characteristics</a:t>
          </a:r>
        </a:p>
        <a:p>
          <a:pPr marL="0" indent="0"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Advertising + affiliate fees drive cash flow</a:t>
          </a:r>
        </a:p>
        <a:p>
          <a:pPr marL="0" indent="0"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Sports rights support CBS network value</a:t>
          </a:r>
        </a:p>
        <a:p>
          <a:pPr marL="0" indent="0"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Content library monetization through licensing</a:t>
          </a:r>
        </a:p>
        <a:p>
          <a:pPr marL="0" indent="0" algn="l"/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Strong free cash flow despite secular pressure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85725</xdr:rowOff>
    </xdr:from>
    <xdr:to>
      <xdr:col>2</xdr:col>
      <xdr:colOff>600075</xdr:colOff>
      <xdr:row>30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2E40839-7D80-FA4E-D0F3-B712AF4982CC}"/>
            </a:ext>
          </a:extLst>
        </xdr:cNvPr>
        <xdr:cNvSpPr txBox="1"/>
      </xdr:nvSpPr>
      <xdr:spPr>
        <a:xfrm>
          <a:off x="9525" y="609600"/>
          <a:ext cx="3067050" cy="4410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Structural Media Risk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Linear TV advertising secular decline</a:t>
          </a: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Cord-cutting pressure on affiliate fees</a:t>
          </a:r>
        </a:p>
        <a:p>
          <a:pPr marL="0" indent="0"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Streaming Execution Risk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Slower-than-expected path to breakeven</a:t>
          </a: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Content spending discipline required</a:t>
          </a:r>
        </a:p>
        <a:p>
          <a:pPr marL="0" indent="0"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Balance Sheet Risk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Elevated leverage limits flexibility</a:t>
          </a: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Asset monetization timing critical</a:t>
          </a:r>
        </a:p>
        <a:p>
          <a:pPr marL="0" indent="0" algn="l"/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Governance &amp; Control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National Amusements control structure</a:t>
          </a: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Limits certain strategic outcomes</a:t>
          </a:r>
        </a:p>
      </xdr:txBody>
    </xdr:sp>
    <xdr:clientData/>
  </xdr:twoCellAnchor>
  <xdr:twoCellAnchor>
    <xdr:from>
      <xdr:col>4</xdr:col>
      <xdr:colOff>9525</xdr:colOff>
      <xdr:row>3</xdr:row>
      <xdr:rowOff>114300</xdr:rowOff>
    </xdr:from>
    <xdr:to>
      <xdr:col>7</xdr:col>
      <xdr:colOff>495300</xdr:colOff>
      <xdr:row>14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374A0D3-1C4B-F347-918C-D8E6A63905C5}"/>
            </a:ext>
            <a:ext uri="{147F2762-F138-4A5C-976F-8EAC2B608ADB}">
              <a16:predDERef xmlns:a16="http://schemas.microsoft.com/office/drawing/2014/main" pred="{92E40839-7D80-FA4E-D0F3-B712AF4982CC}"/>
            </a:ext>
          </a:extLst>
        </xdr:cNvPr>
        <xdr:cNvSpPr txBox="1"/>
      </xdr:nvSpPr>
      <xdr:spPr>
        <a:xfrm>
          <a:off x="3705225" y="638175"/>
          <a:ext cx="3486150" cy="1685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Strong content library and franchises</a:t>
          </a: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Broadcast network scale and sports rights</a:t>
          </a:r>
        </a:p>
        <a:p>
          <a:pPr marL="0" indent="0" algn="l"/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Multiple monetization levers (sales, licensing, partnerships)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025E6D-34BD-47ED-A4D9-5A06C78C01E3}" name="Table1" displayName="Table1" ref="A4:B10" totalsRowShown="0" headerRowDxfId="121" dataDxfId="120">
  <autoFilter ref="A4:B10" xr:uid="{C8025E6D-34BD-47ED-A4D9-5A06C78C01E3}"/>
  <tableColumns count="2">
    <tableColumn id="1" xr3:uid="{E4429474-AA05-4BA7-94A8-A1F92FD9C681}" name="Item" dataDxfId="119"/>
    <tableColumn id="2" xr3:uid="{902BB5D3-FC17-4FCD-A7E5-1F518CF582B5}" name="Detail" dataDxfId="1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E15138-A23C-48C8-8D17-AFB7327644FB}" name="Table2" displayName="Table2" ref="D4:E7" totalsRowShown="0" headerRowDxfId="117" dataDxfId="116">
  <autoFilter ref="D4:E7" xr:uid="{28E15138-A23C-48C8-8D17-AFB7327644FB}"/>
  <tableColumns count="2">
    <tableColumn id="1" xr3:uid="{3DE341FE-E6B2-4200-8F42-CCDD6A9B3316}" name="Segment" dataDxfId="115"/>
    <tableColumn id="2" xr3:uid="{DBAFD948-9A33-48FE-996E-FC0081F80BBE}" name="Description" dataDxfId="1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A00C0B-C2F9-47BA-B687-B3F1916B13AD}" name="Table3" displayName="Table3" ref="A14:B20" totalsRowShown="0" headerRowDxfId="113" dataDxfId="112">
  <autoFilter ref="A14:B20" xr:uid="{4EA00C0B-C2F9-47BA-B687-B3F1916B13AD}"/>
  <tableColumns count="2">
    <tableColumn id="1" xr3:uid="{91FC6A71-AC10-4463-B3D3-FF884C1E8094}" name="Metric" dataDxfId="111"/>
    <tableColumn id="2" xr3:uid="{68F3FA00-6EB1-4A05-BF62-C9BED2D70071}" name="Value " dataDxfId="1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B56188-08A0-40D6-A943-E607498E0ED0}" name="Table4" displayName="Table4" ref="A7:C11" totalsRowShown="0" headerRowDxfId="109" dataDxfId="108">
  <autoFilter ref="A7:C11" xr:uid="{AEB56188-08A0-40D6-A943-E607498E0ED0}"/>
  <tableColumns count="3">
    <tableColumn id="1" xr3:uid="{492C1D8E-3B36-4952-860D-16EE5404F5BE}" name="Segment" dataDxfId="107"/>
    <tableColumn id="2" xr3:uid="{6AAD4EAC-78E2-4EEF-8929-115C0DFBD822}" name="Revenue ($bn)" dataDxfId="106"/>
    <tableColumn id="3" xr3:uid="{C29BEFC1-E6BE-48B6-9769-D5ED39C817CF}" name="% of Total" dataDxfId="10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C04D6C-31FB-4EE9-B148-75B4B89743D4}" name="Table5" displayName="Table5" ref="A15:C20" totalsRowShown="0" headerRowDxfId="104" dataDxfId="103">
  <autoFilter ref="A15:C20" xr:uid="{31C04D6C-31FB-4EE9-B148-75B4B89743D4}"/>
  <tableColumns count="3">
    <tableColumn id="1" xr3:uid="{193FAE58-8B02-45B3-87D1-7FF93CF0BC36}" name="Segment" dataDxfId="102"/>
    <tableColumn id="2" xr3:uid="{46F15B20-F9F8-42DD-B661-FE1B3A4536CF}" name="EBITDA ($bn)" dataDxfId="101"/>
    <tableColumn id="3" xr3:uid="{B3A10ED5-07AE-42AB-AB9A-E9F308B87C29}" name="Margin" dataDxfId="10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09FCA0-ED95-4411-8F1C-B7B0D2C5B351}" name="Table6" displayName="Table6" ref="A24:B28" totalsRowShown="0" headerRowDxfId="99" dataDxfId="98">
  <autoFilter ref="A24:B28" xr:uid="{7F09FCA0-ED95-4411-8F1C-B7B0D2C5B351}"/>
  <tableColumns count="2">
    <tableColumn id="1" xr3:uid="{92D21664-DA8F-46E2-8642-1634E6C3BFD9}" name="Metric" dataDxfId="97"/>
    <tableColumn id="2" xr3:uid="{5BE91D3E-B4E1-4A68-A1F6-3C6603DAF9F5}" name="Value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28487F1-AF07-4D45-AC25-3EFE46175EE3}" name="Table23" displayName="Table23" ref="I31:J34" totalsRowShown="0" headerRowDxfId="95" dataDxfId="94">
  <autoFilter ref="I31:J34" xr:uid="{A28487F1-AF07-4D45-AC25-3EFE46175EE3}"/>
  <tableColumns count="2">
    <tableColumn id="1" xr3:uid="{A121DCA4-E2D8-4025-9074-3A5828C9E2CC}" name="Segment" dataDxfId="93"/>
    <tableColumn id="2" xr3:uid="{420A4DF4-2A29-44A0-BE39-C3E5A56683E8}" name="Key Drivers" dataDxfId="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BEC86FE-0DE7-43AB-A278-501B8F38BD3D}" name="Table24" displayName="Table24" ref="H4:J8" totalsRowShown="0" headerRowDxfId="91" dataDxfId="90">
  <autoFilter ref="H4:J8" xr:uid="{BBEC86FE-0DE7-43AB-A278-501B8F38BD3D}"/>
  <tableColumns count="3">
    <tableColumn id="1" xr3:uid="{8990831E-ADA0-48AB-B7F1-AFAA5D7C5F62}" name="Segment" dataDxfId="89"/>
    <tableColumn id="2" xr3:uid="{00908DA1-3AA2-43CD-9BE7-9036682C63ED}" name="Revenue ($bn)" dataDxfId="88"/>
    <tableColumn id="3" xr3:uid="{9BB6A8C5-ABF1-48DE-825A-08DDF940F305}" name="% of Total" dataDxfId="8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7D8554F-3739-4AC4-B707-307A7ED7C7CB}" name="Table25" displayName="Table25" ref="H13:J18" totalsRowShown="0" headerRowDxfId="86" dataDxfId="85">
  <autoFilter ref="H13:J18" xr:uid="{27D8554F-3739-4AC4-B707-307A7ED7C7CB}"/>
  <tableColumns count="3">
    <tableColumn id="1" xr3:uid="{F7746A23-3161-4F90-BCFF-4EEFAEB47C8F}" name="Segment" dataDxfId="84"/>
    <tableColumn id="2" xr3:uid="{0E3FF9A8-0C33-4ADF-8A9A-FCBD1987F4F5}" name="EBITDA ($bn)" dataDxfId="83"/>
    <tableColumn id="3" xr3:uid="{D867EDC5-8F07-4468-8E0F-3CA58241BD85}" name="Margin" dataDxfId="8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B4EED14-9925-452A-8345-C1D9B6065A02}" name="Table26" displayName="Table26" ref="H23:I28" totalsRowShown="0" headerRowDxfId="81" dataDxfId="80">
  <autoFilter ref="H23:I28" xr:uid="{6B4EED14-9925-452A-8345-C1D9B6065A02}"/>
  <tableColumns count="2">
    <tableColumn id="1" xr3:uid="{206E9683-CB8B-4518-83CC-ACB52DC97048}" name="Direct-to-Consumer Snapshot" dataDxfId="79"/>
    <tableColumn id="2" xr3:uid="{B7CA7567-661E-4450-9305-29F87752D077}" name="Column1" dataDxfId="7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FD0E17-2688-45A4-9DD6-FC7D0D762B7D}" name="Table7" displayName="Table7" ref="A14:B18" totalsRowShown="0" headerRowDxfId="77" dataDxfId="76">
  <autoFilter ref="A14:B18" xr:uid="{A3FD0E17-2688-45A4-9DD6-FC7D0D762B7D}"/>
  <tableColumns count="2">
    <tableColumn id="1" xr3:uid="{D32BA8A6-7918-4901-9DF3-AB6E185519A4}" name="Item" dataDxfId="75"/>
    <tableColumn id="2" xr3:uid="{02676C96-0DFD-4B83-8254-E15DFD6FC808}" name="Commentary" dataDxfId="7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E92BB9-0AD6-4496-95D6-59404A2B0E3E}" name="Table8" displayName="Table8" ref="A4:B9" totalsRowShown="0" headerRowDxfId="73" dataDxfId="72">
  <autoFilter ref="A4:B9" xr:uid="{3CE92BB9-0AD6-4496-95D6-59404A2B0E3E}"/>
  <tableColumns count="2">
    <tableColumn id="1" xr3:uid="{920A3A5B-BCB0-4ED3-A30F-6B6F0E17459A}" name="USD (bn)" dataDxfId="71"/>
    <tableColumn id="2" xr3:uid="{659D5670-C360-45BD-A946-0336FB52AADD}" name="Amount" dataDxfId="70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01421E-5630-406B-A7B0-FB14A87D0EB6}" name="Table9" displayName="Table9" ref="A22:D26" totalsRowShown="0" headerRowDxfId="69" dataDxfId="68">
  <autoFilter ref="A22:D26" xr:uid="{7801421E-5630-406B-A7B0-FB14A87D0EB6}"/>
  <tableColumns count="4">
    <tableColumn id="1" xr3:uid="{B15CEDCA-9BE8-467B-95BF-B8682A304C15}" name="Year" dataDxfId="67"/>
    <tableColumn id="2" xr3:uid="{3E2178EA-2D65-4235-84B2-098CCE769EFD}" name="Subscribers (m)" dataDxfId="66"/>
    <tableColumn id="3" xr3:uid="{874AB393-75E4-4745-9769-B51A1C1998D5}" name="Revenue ($bn)" dataDxfId="65"/>
    <tableColumn id="4" xr3:uid="{4941859A-41C4-4726-B230-761379EDBD00}" name="EBITDA ($bn)" dataDxfId="6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0A6F286-AFC3-4EB6-86C9-079F3CCF631C}" name="Table10" displayName="Table10" ref="B28:C32" totalsRowShown="0" headerRowDxfId="63" dataDxfId="62">
  <autoFilter ref="B28:C32" xr:uid="{B0A6F286-AFC3-4EB6-86C9-079F3CCF631C}"/>
  <tableColumns count="2">
    <tableColumn id="1" xr3:uid="{0E60936F-96E3-4BC1-BA27-5981C9B03342}" name="Driver" dataDxfId="61"/>
    <tableColumn id="2" xr3:uid="{2073BD61-80EF-4253-9803-6D7EA6C94D74}" name="Impact" dataDxfId="6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223C13-FD98-4F2E-9926-619A17AA8EBC}" name="Table11" displayName="Table11" ref="A4:B9" totalsRowShown="0" headerRowDxfId="59" dataDxfId="58">
  <autoFilter ref="A4:B9" xr:uid="{E6223C13-FD98-4F2E-9926-619A17AA8EBC}"/>
  <tableColumns count="2">
    <tableColumn id="1" xr3:uid="{1CC53785-9C28-455B-8FCF-C7D84B24010B}" name="Assumption" dataDxfId="57"/>
    <tableColumn id="2" xr3:uid="{5AFF4189-F67E-484F-8B8D-5F070A2424EC}" name="Value" dataDxfId="5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D8C232D-436F-4A28-A3E4-4C3D7D2756C5}" name="Table12" displayName="Table12" ref="D4:E11" totalsRowShown="0" headerRowDxfId="55" dataDxfId="54">
  <autoFilter ref="D4:E11" xr:uid="{ED8C232D-436F-4A28-A3E4-4C3D7D2756C5}"/>
  <tableColumns count="2">
    <tableColumn id="1" xr3:uid="{8C4E86B9-8278-4028-9E27-CFBCF1DAAE6E}" name="Input" dataDxfId="53"/>
    <tableColumn id="2" xr3:uid="{3A075B57-C0E0-4E68-95FE-B7F2901D074A}" name="Value" dataDxfId="5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EFE6EAA-88C2-4E2D-A8FD-588605A96667}" name="Table13" displayName="Table13" ref="A16:F19" totalsRowShown="0" headerRowDxfId="51" dataDxfId="50">
  <autoFilter ref="A16:F19" xr:uid="{FEFE6EAA-88C2-4E2D-A8FD-588605A96667}"/>
  <tableColumns count="6">
    <tableColumn id="1" xr3:uid="{E94577AE-8F08-4C01-8A0D-7E5448D10D07}" name="USD (bn)" dataDxfId="49"/>
    <tableColumn id="2" xr3:uid="{123593E5-1EEF-4576-A962-7559CD661292}" name="Y1" dataDxfId="48"/>
    <tableColumn id="3" xr3:uid="{0E977FCA-8CEC-41AE-8165-C6D0BC125FD8}" name="Y2" dataDxfId="47"/>
    <tableColumn id="4" xr3:uid="{AD630475-7E64-4A6A-9B2A-09E0C1FD26DD}" name="Y3" dataDxfId="46"/>
    <tableColumn id="5" xr3:uid="{B34313AF-E7DB-4A6A-8180-F44EDAF03BA3}" name="Y4" dataDxfId="45"/>
    <tableColumn id="6" xr3:uid="{C3A9EC36-159D-4ABF-BCCF-6F22E4ABF0C6}" name="Y5" dataDxfId="44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52D9E59-3F84-4F01-84FD-F9C874606A9C}" name="Table14" displayName="Table14" ref="A24:B28" totalsRowShown="0" headerRowDxfId="43" dataDxfId="42">
  <autoFilter ref="A24:B28" xr:uid="{E52D9E59-3F84-4F01-84FD-F9C874606A9C}"/>
  <tableColumns count="2">
    <tableColumn id="1" xr3:uid="{7FF1E217-C02F-4582-9740-75450FD07F8A}" name="Input" dataDxfId="41"/>
    <tableColumn id="2" xr3:uid="{DB9CD987-ED8E-455E-850D-04AB71F121D0}" name="Value" dataDxfId="4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37AFF88-C5C1-4FA8-99BD-D2572BD66F4F}" name="Table15" displayName="Table15" ref="D24:E31" totalsRowShown="0" headerRowDxfId="39" dataDxfId="38">
  <autoFilter ref="D24:E31" xr:uid="{837AFF88-C5C1-4FA8-99BD-D2572BD66F4F}"/>
  <tableColumns count="2">
    <tableColumn id="1" xr3:uid="{A6AA2614-FF8F-47E1-8D85-C608DC9C25A7}" name="Metric" dataDxfId="37"/>
    <tableColumn id="2" xr3:uid="{E8CF1AD4-70E2-4D88-BD1E-D4257DCDCFB8}" name="Value" dataDxfId="3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54BB657-A198-421A-934F-3BD3D1AABD5B}" name="Table16" displayName="Table16" ref="A4:D10" totalsRowShown="0" headerRowDxfId="35" dataDxfId="34">
  <autoFilter ref="A4:D10" xr:uid="{E54BB657-A198-421A-934F-3BD3D1AABD5B}"/>
  <tableColumns count="4">
    <tableColumn id="1" xr3:uid="{69D5A414-00AF-4878-AD16-58CB3A845CA9}" name="Segment" dataDxfId="33"/>
    <tableColumn id="2" xr3:uid="{F8CADB14-0DAF-42F5-B8C5-887BBF40C3D5}" name="Metric" dataDxfId="32"/>
    <tableColumn id="3" xr3:uid="{184D84F8-C181-46A7-A54E-A411501FF245}" name="Multiple / Method" dataDxfId="31"/>
    <tableColumn id="4" xr3:uid="{A5A7E507-77B7-4E10-B375-35DE66E94FE8}" name="Implied EV ($bn)" dataDxfId="30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CC60B7D-25D1-413F-AB15-C59DB2230C79}" name="Table17" displayName="Table17" ref="C14:D17" totalsRowShown="0" headerRowDxfId="29" dataDxfId="28">
  <autoFilter ref="C14:D17" xr:uid="{2CC60B7D-25D1-413F-AB15-C59DB2230C79}"/>
  <tableColumns count="2">
    <tableColumn id="1" xr3:uid="{2A380E33-57B0-448F-B425-CE1896A21ACE}" name="Item" dataDxfId="27"/>
    <tableColumn id="2" xr3:uid="{468002F3-E05B-4949-8374-D1EEDDE5BAA5}" name="Value" dataDxfId="2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AAFEB3C-5B4E-4310-B905-CEC09A9B9DE0}" name="Table18" displayName="Table18" ref="A26:B29" totalsRowShown="0" headerRowDxfId="25" dataDxfId="24">
  <autoFilter ref="A26:B29" xr:uid="{8AAFEB3C-5B4E-4310-B905-CEC09A9B9DE0}"/>
  <tableColumns count="2">
    <tableColumn id="1" xr3:uid="{3110CD18-4E3F-47FB-AAB7-A4AB9C8B5CE4}" name="Method" dataDxfId="23"/>
    <tableColumn id="2" xr3:uid="{74520618-5CA9-4869-8A2E-C172D5BDAE71}" name="Implied Value" dataDxfId="2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280A744-37A9-4BF9-BFFF-B01D8DE7FC79}" name="Table20" displayName="Table20" ref="A4:C10" totalsRowShown="0" headerRowDxfId="21" dataDxfId="20">
  <autoFilter ref="A4:C10" xr:uid="{C280A744-37A9-4BF9-BFFF-B01D8DE7FC79}"/>
  <tableColumns count="3">
    <tableColumn id="1" xr3:uid="{D301A0C0-1196-449A-B6D7-77D14D128BA2}" name="Column1" dataDxfId="19"/>
    <tableColumn id="2" xr3:uid="{91F28814-56F5-42D1-BD6B-F7A5B95A5CF0}" name="EV / EBITDA" dataDxfId="18"/>
    <tableColumn id="3" xr3:uid="{49D22021-552E-4E14-89CB-0A00773E48A9}" name="EV / Revenue" dataDxfId="17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15A2FC2-0A09-426E-991C-53D09EE84F85}" name="Table21" displayName="Table21" ref="A14:B18" totalsRowShown="0" headerRowDxfId="16" dataDxfId="15">
  <autoFilter ref="A14:B18" xr:uid="{915A2FC2-0A09-426E-991C-53D09EE84F85}"/>
  <tableColumns count="2">
    <tableColumn id="1" xr3:uid="{23A805F7-201F-4ED9-8DF5-D6C07E0C1EE9}" name="Metric" dataDxfId="14"/>
    <tableColumn id="2" xr3:uid="{67BC5594-242B-48EB-8C44-3C5EE6E3A674}" name="Value" dataDxfId="1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743E2B5-7809-4F6C-8C71-8CDFAA09A6AD}" name="Table22" displayName="Table22" ref="A3:C7" totalsRowShown="0" headerRowDxfId="12" dataDxfId="11">
  <autoFilter ref="A3:C7" xr:uid="{9743E2B5-7809-4F6C-8C71-8CDFAA09A6AD}"/>
  <tableColumns count="3">
    <tableColumn id="1" xr3:uid="{A458AE87-711F-40BE-95A9-BC5EC6DC2584}" name="Method" dataDxfId="10"/>
    <tableColumn id="2" xr3:uid="{51971C2A-B547-4BF5-A3C6-5915BD3E7543}" name="Implied Equity Value" dataDxfId="9"/>
    <tableColumn id="3" xr3:uid="{D1134B26-F68A-4980-9E9B-FC67BD3FD9E3}" name="Implied Share Price" dataDxfId="8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BC6FA72-BD18-4B88-B575-B22D821FC3CB}" name="Table19" displayName="Table19" ref="A6:F11" totalsRowShown="0" headerRowDxfId="7" dataDxfId="6">
  <autoFilter ref="A6:F11" xr:uid="{CBC6FA72-BD18-4B88-B575-B22D821FC3CB}"/>
  <tableColumns count="6">
    <tableColumn id="1" xr3:uid="{C6014CE2-9B8C-40B4-A87E-9BF7BD3B0733}" name="Acquirer" dataDxfId="5"/>
    <tableColumn id="2" xr3:uid="{1C255A40-A888-4ECC-940E-3CE3244083CF}" name="Target" dataDxfId="4"/>
    <tableColumn id="3" xr3:uid="{A16B27B2-FBAE-438D-A22D-F47A76E09A65}" name="Year" dataDxfId="3"/>
    <tableColumn id="4" xr3:uid="{4A798EED-51E3-493F-A00F-741B3111B36C}" name="Asset Type" dataDxfId="2"/>
    <tableColumn id="5" xr3:uid="{194D6085-F057-4621-9C8B-3D648FAE45FF}" name="EV / EBITDA" dataDxfId="1"/>
    <tableColumn id="6" xr3:uid="{6913B0B6-3711-4E0C-9EEB-B6A8D6DD394E}" name="EV / Reven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4" Type="http://schemas.openxmlformats.org/officeDocument/2006/relationships/table" Target="../tables/table1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/>
  </sheetViews>
  <sheetFormatPr defaultColWidth="12.5703125" defaultRowHeight="15.75" customHeight="1"/>
  <cols>
    <col min="1" max="1" width="25.85546875" customWidth="1"/>
  </cols>
  <sheetData>
    <row r="1" spans="1:27">
      <c r="A1" s="1"/>
    </row>
    <row r="2" spans="1:27">
      <c r="A2" s="2" t="s">
        <v>0</v>
      </c>
      <c r="B2" s="1"/>
      <c r="C2" s="1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2"/>
    </row>
    <row r="4" spans="1:27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>
      <c r="A5" s="1" t="s">
        <v>9</v>
      </c>
      <c r="B5" s="3" t="s">
        <v>10</v>
      </c>
      <c r="C5" s="3">
        <v>114.57</v>
      </c>
      <c r="D5" s="3">
        <v>1790</v>
      </c>
      <c r="E5" s="3">
        <f t="shared" ref="E5:E10" si="0">D5*C5</f>
        <v>205080.3</v>
      </c>
      <c r="F5" s="3">
        <v>35600</v>
      </c>
      <c r="G5" s="3">
        <f t="shared" ref="G5:G10" si="1">E5+F5</f>
        <v>240680.3</v>
      </c>
    </row>
    <row r="6" spans="1:27">
      <c r="A6" s="1" t="s">
        <v>11</v>
      </c>
      <c r="B6" s="3" t="s">
        <v>12</v>
      </c>
      <c r="C6" s="3">
        <v>90.65</v>
      </c>
      <c r="D6" s="3">
        <v>4277.51</v>
      </c>
      <c r="E6" s="3">
        <f t="shared" si="0"/>
        <v>387756.28150000004</v>
      </c>
      <c r="F6" s="3">
        <v>13110</v>
      </c>
      <c r="G6" s="3">
        <f t="shared" si="1"/>
        <v>400866.28150000004</v>
      </c>
    </row>
    <row r="7" spans="1:27">
      <c r="A7" s="1" t="s">
        <v>13</v>
      </c>
      <c r="B7" s="3" t="s">
        <v>14</v>
      </c>
      <c r="C7" s="3">
        <v>28.47</v>
      </c>
      <c r="D7" s="3">
        <v>2480</v>
      </c>
      <c r="E7" s="3">
        <f t="shared" si="0"/>
        <v>70605.599999999991</v>
      </c>
      <c r="F7" s="3">
        <v>36760</v>
      </c>
      <c r="G7" s="3">
        <f t="shared" si="1"/>
        <v>107365.59999999999</v>
      </c>
    </row>
    <row r="8" spans="1:27">
      <c r="A8" s="1" t="s">
        <v>15</v>
      </c>
      <c r="B8" s="3" t="s">
        <v>16</v>
      </c>
      <c r="C8" s="3">
        <v>76.11</v>
      </c>
      <c r="D8" s="3">
        <v>443.91</v>
      </c>
      <c r="E8" s="3">
        <f t="shared" si="0"/>
        <v>33785.990100000003</v>
      </c>
      <c r="F8" s="3">
        <v>4494</v>
      </c>
      <c r="G8" s="3">
        <f t="shared" si="1"/>
        <v>38279.990100000003</v>
      </c>
    </row>
    <row r="9" spans="1:27">
      <c r="A9" s="1" t="s">
        <v>17</v>
      </c>
      <c r="B9" s="3" t="s">
        <v>18</v>
      </c>
      <c r="C9" s="3">
        <v>27.42</v>
      </c>
      <c r="D9" s="3">
        <v>3780</v>
      </c>
      <c r="E9" s="3">
        <f t="shared" si="0"/>
        <v>103647.6</v>
      </c>
      <c r="F9" s="3">
        <v>91190</v>
      </c>
      <c r="G9" s="3">
        <f t="shared" si="1"/>
        <v>194837.6</v>
      </c>
    </row>
    <row r="10" spans="1:27">
      <c r="A10" s="1" t="s">
        <v>1</v>
      </c>
      <c r="B10" s="3" t="s">
        <v>19</v>
      </c>
      <c r="C10" s="3">
        <v>11.04</v>
      </c>
      <c r="D10" s="3">
        <v>674.22</v>
      </c>
      <c r="E10" s="3">
        <f t="shared" si="0"/>
        <v>7443.3887999999997</v>
      </c>
      <c r="F10" s="3">
        <v>12770</v>
      </c>
      <c r="G10" s="3">
        <f t="shared" si="1"/>
        <v>20213.388800000001</v>
      </c>
    </row>
    <row r="11" spans="1:27">
      <c r="A11" s="1"/>
    </row>
    <row r="12" spans="1:27">
      <c r="A12" s="1"/>
    </row>
    <row r="13" spans="1:27">
      <c r="A13" s="1" t="s">
        <v>20</v>
      </c>
      <c r="B13" s="1" t="s">
        <v>21</v>
      </c>
      <c r="C13" s="1" t="s">
        <v>22</v>
      </c>
      <c r="D13" s="1" t="s">
        <v>23</v>
      </c>
      <c r="E13" s="1" t="s">
        <v>24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>
      <c r="A14" s="1" t="s">
        <v>9</v>
      </c>
      <c r="B14" s="3">
        <v>94430</v>
      </c>
      <c r="C14" s="3">
        <v>19420</v>
      </c>
      <c r="D14" s="3">
        <f t="shared" ref="D14:D19" si="2">G5/B14</f>
        <v>2.5487694588584136</v>
      </c>
      <c r="E14" s="3" t="s">
        <v>25</v>
      </c>
    </row>
    <row r="15" spans="1:27">
      <c r="A15" s="1" t="s">
        <v>11</v>
      </c>
      <c r="B15" s="3">
        <v>134040</v>
      </c>
      <c r="C15" s="3">
        <v>30430</v>
      </c>
      <c r="D15" s="3">
        <f t="shared" si="2"/>
        <v>2.990646683825724</v>
      </c>
      <c r="E15" s="3">
        <f t="shared" ref="E15:E19" si="3">G6/C15</f>
        <v>13.173390782122906</v>
      </c>
    </row>
    <row r="16" spans="1:27">
      <c r="A16" s="1" t="s">
        <v>13</v>
      </c>
      <c r="B16" s="3">
        <v>39320</v>
      </c>
      <c r="C16" s="3">
        <v>3640</v>
      </c>
      <c r="D16" s="3">
        <f t="shared" si="2"/>
        <v>2.7305595116988806</v>
      </c>
      <c r="E16" s="3">
        <f t="shared" si="3"/>
        <v>29.496043956043955</v>
      </c>
    </row>
    <row r="17" spans="1:27">
      <c r="A17" s="1" t="s">
        <v>15</v>
      </c>
      <c r="B17" s="3">
        <v>16470</v>
      </c>
      <c r="C17" s="3">
        <v>3640</v>
      </c>
      <c r="D17" s="3">
        <f t="shared" si="2"/>
        <v>2.3242252641165759</v>
      </c>
      <c r="E17" s="3">
        <f t="shared" si="3"/>
        <v>10.516480796703297</v>
      </c>
    </row>
    <row r="18" spans="1:27">
      <c r="A18" s="1" t="s">
        <v>17</v>
      </c>
      <c r="B18" s="3">
        <v>123730</v>
      </c>
      <c r="C18" s="3">
        <v>38100</v>
      </c>
      <c r="D18" s="3">
        <f t="shared" si="2"/>
        <v>1.5746997494544572</v>
      </c>
      <c r="E18" s="3">
        <f t="shared" si="3"/>
        <v>5.1138477690288715</v>
      </c>
    </row>
    <row r="19" spans="1:27">
      <c r="A19" s="1" t="s">
        <v>1</v>
      </c>
      <c r="B19" s="3">
        <v>28730</v>
      </c>
      <c r="C19" s="3">
        <v>2870</v>
      </c>
      <c r="D19" s="3">
        <f t="shared" si="2"/>
        <v>0.70356382875043511</v>
      </c>
      <c r="E19" s="3">
        <f t="shared" si="3"/>
        <v>7.0429926132404184</v>
      </c>
    </row>
    <row r="20" spans="1:27">
      <c r="A20" s="1"/>
    </row>
    <row r="21" spans="1:27">
      <c r="A21" s="1" t="s">
        <v>26</v>
      </c>
      <c r="B21" s="1" t="s">
        <v>27</v>
      </c>
      <c r="C21" s="1" t="s">
        <v>24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>
      <c r="A22" s="1" t="s">
        <v>28</v>
      </c>
      <c r="B22" s="4">
        <f>MIN(D14:D19)</f>
        <v>0.70356382875043511</v>
      </c>
      <c r="C22" s="4">
        <f>MIN(E15,E17:E19)</f>
        <v>5.1138477690288715</v>
      </c>
    </row>
    <row r="23" spans="1:27">
      <c r="A23" s="1" t="s">
        <v>29</v>
      </c>
      <c r="B23" s="4">
        <f>MEDIAN(D14:D19)</f>
        <v>2.4364973614874947</v>
      </c>
      <c r="C23" s="4">
        <f>MEDIAN(E15,E17:E18)</f>
        <v>10.516480796703297</v>
      </c>
    </row>
    <row r="24" spans="1:27">
      <c r="A24" s="1" t="s">
        <v>30</v>
      </c>
      <c r="B24" s="4">
        <f>MAX(D14:D19)</f>
        <v>2.990646683825724</v>
      </c>
      <c r="C24" s="4">
        <f>MAX(E15,E17:E19)</f>
        <v>13.173390782122906</v>
      </c>
    </row>
    <row r="25" spans="1:27">
      <c r="A25" s="1"/>
      <c r="B25" s="4"/>
      <c r="C25" s="4"/>
    </row>
    <row r="26" spans="1:27">
      <c r="A26" s="1" t="s">
        <v>31</v>
      </c>
      <c r="B26" s="4"/>
      <c r="C26" s="4"/>
    </row>
    <row r="27" spans="1:27">
      <c r="A27" s="1" t="s">
        <v>32</v>
      </c>
      <c r="B27" s="4">
        <f>C19*C22</f>
        <v>14676.743097112862</v>
      </c>
      <c r="C27" s="4"/>
    </row>
    <row r="28" spans="1:27">
      <c r="A28" s="1" t="s">
        <v>33</v>
      </c>
      <c r="B28" s="4">
        <f>C19*C23</f>
        <v>30182.299886538462</v>
      </c>
      <c r="C28" s="4"/>
    </row>
    <row r="29" spans="1:27">
      <c r="A29" s="1" t="s">
        <v>34</v>
      </c>
      <c r="B29" s="4">
        <f>C19*C24</f>
        <v>37807.63154469274</v>
      </c>
      <c r="C29" s="4"/>
    </row>
    <row r="30" spans="1:27">
      <c r="A30" s="1"/>
      <c r="B30" s="4"/>
      <c r="C30" s="4"/>
    </row>
    <row r="31" spans="1:27">
      <c r="A31" s="1" t="s">
        <v>35</v>
      </c>
      <c r="B31" s="4"/>
      <c r="C31" s="4"/>
    </row>
    <row r="32" spans="1:27">
      <c r="A32" s="1" t="s">
        <v>36</v>
      </c>
      <c r="B32" s="4">
        <f>B27-F10</f>
        <v>1906.7430971128615</v>
      </c>
      <c r="C32" s="4"/>
    </row>
    <row r="33" spans="1:3">
      <c r="A33" s="1" t="s">
        <v>37</v>
      </c>
      <c r="B33" s="4">
        <f>B28-F10</f>
        <v>17412.299886538462</v>
      </c>
      <c r="C33" s="4"/>
    </row>
    <row r="34" spans="1:3">
      <c r="A34" s="1" t="s">
        <v>30</v>
      </c>
      <c r="B34" s="4">
        <f>B29-F10</f>
        <v>25037.63154469274</v>
      </c>
      <c r="C34" s="4"/>
    </row>
    <row r="35" spans="1:3">
      <c r="A35" s="1"/>
    </row>
    <row r="36" spans="1:3">
      <c r="A36" s="1"/>
    </row>
    <row r="37" spans="1:3">
      <c r="A37" s="1"/>
    </row>
    <row r="38" spans="1:3">
      <c r="A38" s="1"/>
    </row>
    <row r="39" spans="1:3">
      <c r="A39" s="1"/>
    </row>
    <row r="40" spans="1:3">
      <c r="A40" s="1"/>
    </row>
    <row r="41" spans="1:3">
      <c r="A41" s="1"/>
    </row>
    <row r="42" spans="1:3">
      <c r="A42" s="1"/>
    </row>
    <row r="43" spans="1:3">
      <c r="A43" s="1"/>
    </row>
    <row r="44" spans="1:3">
      <c r="A44" s="1"/>
    </row>
    <row r="45" spans="1:3">
      <c r="A45" s="1"/>
    </row>
    <row r="46" spans="1:3">
      <c r="A46" s="1"/>
    </row>
    <row r="47" spans="1:3">
      <c r="A47" s="1"/>
    </row>
    <row r="48" spans="1: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1"/>
    </row>
    <row r="121" spans="1:1">
      <c r="A121" s="1"/>
    </row>
    <row r="122" spans="1:1">
      <c r="A122" s="1"/>
    </row>
    <row r="123" spans="1:1">
      <c r="A123" s="1"/>
    </row>
    <row r="124" spans="1:1">
      <c r="A124" s="1"/>
    </row>
    <row r="125" spans="1:1">
      <c r="A125" s="1"/>
    </row>
    <row r="126" spans="1:1">
      <c r="A126" s="1"/>
    </row>
    <row r="127" spans="1:1">
      <c r="A127" s="1"/>
    </row>
    <row r="128" spans="1:1">
      <c r="A128" s="1"/>
    </row>
    <row r="129" spans="1:1">
      <c r="A129" s="1"/>
    </row>
    <row r="130" spans="1:1">
      <c r="A130" s="1"/>
    </row>
    <row r="131" spans="1:1">
      <c r="A131" s="1"/>
    </row>
    <row r="132" spans="1:1">
      <c r="A132" s="1"/>
    </row>
    <row r="133" spans="1:1">
      <c r="A133" s="1"/>
    </row>
    <row r="134" spans="1:1">
      <c r="A134" s="1"/>
    </row>
    <row r="135" spans="1:1">
      <c r="A135" s="1"/>
    </row>
    <row r="136" spans="1:1">
      <c r="A136" s="1"/>
    </row>
    <row r="137" spans="1:1">
      <c r="A137" s="1"/>
    </row>
    <row r="138" spans="1:1">
      <c r="A138" s="1"/>
    </row>
    <row r="139" spans="1:1">
      <c r="A139" s="1"/>
    </row>
    <row r="140" spans="1:1">
      <c r="A140" s="1"/>
    </row>
    <row r="141" spans="1:1">
      <c r="A141" s="1"/>
    </row>
    <row r="142" spans="1:1">
      <c r="A142" s="1"/>
    </row>
    <row r="143" spans="1:1">
      <c r="A143" s="1"/>
    </row>
    <row r="144" spans="1:1">
      <c r="A144" s="1"/>
    </row>
    <row r="145" spans="1:1">
      <c r="A145" s="1"/>
    </row>
    <row r="146" spans="1:1">
      <c r="A146" s="1"/>
    </row>
    <row r="147" spans="1:1">
      <c r="A147" s="1"/>
    </row>
    <row r="148" spans="1:1">
      <c r="A148" s="1"/>
    </row>
    <row r="149" spans="1:1">
      <c r="A149" s="1"/>
    </row>
    <row r="150" spans="1:1">
      <c r="A150" s="1"/>
    </row>
    <row r="151" spans="1:1">
      <c r="A151" s="1"/>
    </row>
    <row r="152" spans="1:1">
      <c r="A152" s="1"/>
    </row>
    <row r="153" spans="1:1">
      <c r="A153" s="1"/>
    </row>
    <row r="154" spans="1:1">
      <c r="A154" s="1"/>
    </row>
    <row r="155" spans="1:1">
      <c r="A155" s="1"/>
    </row>
    <row r="156" spans="1:1">
      <c r="A156" s="1"/>
    </row>
    <row r="157" spans="1:1">
      <c r="A157" s="1"/>
    </row>
    <row r="158" spans="1:1">
      <c r="A158" s="1"/>
    </row>
    <row r="159" spans="1:1">
      <c r="A159" s="1"/>
    </row>
    <row r="160" spans="1:1">
      <c r="A160" s="1"/>
    </row>
    <row r="161" spans="1:1">
      <c r="A161" s="1"/>
    </row>
    <row r="162" spans="1:1">
      <c r="A162" s="1"/>
    </row>
    <row r="163" spans="1:1">
      <c r="A163" s="1"/>
    </row>
    <row r="164" spans="1:1">
      <c r="A164" s="1"/>
    </row>
    <row r="165" spans="1:1">
      <c r="A165" s="1"/>
    </row>
    <row r="166" spans="1:1">
      <c r="A166" s="1"/>
    </row>
    <row r="167" spans="1:1">
      <c r="A167" s="1"/>
    </row>
    <row r="168" spans="1:1">
      <c r="A168" s="1"/>
    </row>
    <row r="169" spans="1:1">
      <c r="A169" s="1"/>
    </row>
    <row r="170" spans="1:1">
      <c r="A170" s="1"/>
    </row>
    <row r="171" spans="1:1">
      <c r="A171" s="1"/>
    </row>
    <row r="172" spans="1:1">
      <c r="A172" s="1"/>
    </row>
    <row r="173" spans="1:1">
      <c r="A173" s="1"/>
    </row>
    <row r="174" spans="1:1">
      <c r="A174" s="1"/>
    </row>
    <row r="175" spans="1:1">
      <c r="A175" s="1"/>
    </row>
    <row r="176" spans="1:1">
      <c r="A176" s="1"/>
    </row>
    <row r="177" spans="1:1">
      <c r="A177" s="1"/>
    </row>
    <row r="178" spans="1:1">
      <c r="A178" s="1"/>
    </row>
    <row r="179" spans="1:1">
      <c r="A179" s="1"/>
    </row>
    <row r="180" spans="1:1">
      <c r="A180" s="1"/>
    </row>
    <row r="181" spans="1:1">
      <c r="A181" s="1"/>
    </row>
    <row r="182" spans="1:1">
      <c r="A182" s="1"/>
    </row>
    <row r="183" spans="1:1">
      <c r="A183" s="1"/>
    </row>
    <row r="184" spans="1:1">
      <c r="A184" s="1"/>
    </row>
    <row r="185" spans="1:1">
      <c r="A185" s="1"/>
    </row>
    <row r="186" spans="1:1">
      <c r="A186" s="1"/>
    </row>
    <row r="187" spans="1:1">
      <c r="A187" s="1"/>
    </row>
    <row r="188" spans="1:1">
      <c r="A188" s="1"/>
    </row>
    <row r="189" spans="1:1">
      <c r="A189" s="1"/>
    </row>
    <row r="190" spans="1:1">
      <c r="A190" s="1"/>
    </row>
    <row r="191" spans="1:1">
      <c r="A191" s="1"/>
    </row>
    <row r="192" spans="1:1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  <row r="210" spans="1:1">
      <c r="A210" s="1"/>
    </row>
    <row r="211" spans="1:1">
      <c r="A211" s="1"/>
    </row>
    <row r="212" spans="1:1">
      <c r="A212" s="1"/>
    </row>
    <row r="213" spans="1:1">
      <c r="A213" s="1"/>
    </row>
    <row r="214" spans="1:1">
      <c r="A214" s="1"/>
    </row>
    <row r="215" spans="1:1">
      <c r="A215" s="1"/>
    </row>
    <row r="216" spans="1:1">
      <c r="A216" s="1"/>
    </row>
    <row r="217" spans="1:1">
      <c r="A217" s="1"/>
    </row>
    <row r="218" spans="1:1">
      <c r="A218" s="1"/>
    </row>
    <row r="219" spans="1:1">
      <c r="A219" s="1"/>
    </row>
    <row r="220" spans="1:1">
      <c r="A220" s="1"/>
    </row>
    <row r="221" spans="1:1">
      <c r="A221" s="1"/>
    </row>
    <row r="222" spans="1:1">
      <c r="A222" s="1"/>
    </row>
    <row r="223" spans="1:1">
      <c r="A223" s="1"/>
    </row>
    <row r="224" spans="1:1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  <row r="393" spans="1:1">
      <c r="A393" s="1"/>
    </row>
    <row r="394" spans="1:1">
      <c r="A394" s="1"/>
    </row>
    <row r="395" spans="1:1">
      <c r="A395" s="1"/>
    </row>
    <row r="396" spans="1:1">
      <c r="A396" s="1"/>
    </row>
    <row r="397" spans="1:1">
      <c r="A397" s="1"/>
    </row>
    <row r="398" spans="1:1">
      <c r="A398" s="1"/>
    </row>
    <row r="399" spans="1:1">
      <c r="A399" s="1"/>
    </row>
    <row r="400" spans="1:1">
      <c r="A400" s="1"/>
    </row>
    <row r="401" spans="1:1">
      <c r="A401" s="1"/>
    </row>
    <row r="402" spans="1:1">
      <c r="A402" s="1"/>
    </row>
    <row r="403" spans="1:1">
      <c r="A403" s="1"/>
    </row>
    <row r="404" spans="1:1">
      <c r="A404" s="1"/>
    </row>
    <row r="405" spans="1:1">
      <c r="A405" s="1"/>
    </row>
    <row r="406" spans="1:1">
      <c r="A406" s="1"/>
    </row>
    <row r="407" spans="1:1">
      <c r="A407" s="1"/>
    </row>
    <row r="408" spans="1:1">
      <c r="A408" s="1"/>
    </row>
    <row r="409" spans="1:1">
      <c r="A409" s="1"/>
    </row>
    <row r="410" spans="1:1">
      <c r="A410" s="1"/>
    </row>
    <row r="411" spans="1:1">
      <c r="A411" s="1"/>
    </row>
    <row r="412" spans="1:1">
      <c r="A412" s="1"/>
    </row>
    <row r="413" spans="1:1">
      <c r="A413" s="1"/>
    </row>
    <row r="414" spans="1:1">
      <c r="A414" s="1"/>
    </row>
    <row r="415" spans="1:1">
      <c r="A415" s="1"/>
    </row>
    <row r="416" spans="1:1">
      <c r="A416" s="1"/>
    </row>
    <row r="417" spans="1:1">
      <c r="A417" s="1"/>
    </row>
    <row r="418" spans="1:1">
      <c r="A418" s="1"/>
    </row>
    <row r="419" spans="1:1">
      <c r="A419" s="1"/>
    </row>
    <row r="420" spans="1:1">
      <c r="A420" s="1"/>
    </row>
    <row r="421" spans="1:1">
      <c r="A421" s="1"/>
    </row>
    <row r="422" spans="1:1">
      <c r="A422" s="1"/>
    </row>
    <row r="423" spans="1:1">
      <c r="A423" s="1"/>
    </row>
    <row r="424" spans="1:1">
      <c r="A424" s="1"/>
    </row>
    <row r="425" spans="1:1">
      <c r="A425" s="1"/>
    </row>
    <row r="426" spans="1:1">
      <c r="A426" s="1"/>
    </row>
    <row r="427" spans="1:1">
      <c r="A427" s="1"/>
    </row>
    <row r="428" spans="1:1">
      <c r="A428" s="1"/>
    </row>
    <row r="429" spans="1:1">
      <c r="A429" s="1"/>
    </row>
    <row r="430" spans="1:1">
      <c r="A430" s="1"/>
    </row>
    <row r="431" spans="1:1">
      <c r="A431" s="1"/>
    </row>
    <row r="432" spans="1:1">
      <c r="A432" s="1"/>
    </row>
    <row r="433" spans="1:1">
      <c r="A433" s="1"/>
    </row>
    <row r="434" spans="1:1">
      <c r="A434" s="1"/>
    </row>
    <row r="435" spans="1:1">
      <c r="A435" s="1"/>
    </row>
    <row r="436" spans="1:1">
      <c r="A436" s="1"/>
    </row>
    <row r="437" spans="1:1">
      <c r="A437" s="1"/>
    </row>
    <row r="438" spans="1:1">
      <c r="A438" s="1"/>
    </row>
    <row r="439" spans="1:1">
      <c r="A439" s="1"/>
    </row>
    <row r="440" spans="1:1">
      <c r="A440" s="1"/>
    </row>
    <row r="441" spans="1:1">
      <c r="A441" s="1"/>
    </row>
    <row r="442" spans="1:1">
      <c r="A442" s="1"/>
    </row>
    <row r="443" spans="1:1">
      <c r="A443" s="1"/>
    </row>
    <row r="444" spans="1:1">
      <c r="A444" s="1"/>
    </row>
    <row r="445" spans="1:1">
      <c r="A445" s="1"/>
    </row>
    <row r="446" spans="1:1">
      <c r="A446" s="1"/>
    </row>
    <row r="447" spans="1:1">
      <c r="A447" s="1"/>
    </row>
    <row r="448" spans="1:1">
      <c r="A448" s="1"/>
    </row>
    <row r="449" spans="1:1">
      <c r="A449" s="1"/>
    </row>
    <row r="450" spans="1:1">
      <c r="A450" s="1"/>
    </row>
    <row r="451" spans="1:1">
      <c r="A451" s="1"/>
    </row>
    <row r="452" spans="1:1">
      <c r="A452" s="1"/>
    </row>
    <row r="453" spans="1:1">
      <c r="A453" s="1"/>
    </row>
    <row r="454" spans="1:1">
      <c r="A454" s="1"/>
    </row>
    <row r="455" spans="1:1">
      <c r="A455" s="1"/>
    </row>
    <row r="456" spans="1:1">
      <c r="A456" s="1"/>
    </row>
    <row r="457" spans="1:1">
      <c r="A457" s="1"/>
    </row>
    <row r="458" spans="1:1">
      <c r="A458" s="1"/>
    </row>
    <row r="459" spans="1:1">
      <c r="A459" s="1"/>
    </row>
    <row r="460" spans="1:1">
      <c r="A460" s="1"/>
    </row>
    <row r="461" spans="1:1">
      <c r="A461" s="1"/>
    </row>
    <row r="462" spans="1:1">
      <c r="A462" s="1"/>
    </row>
    <row r="463" spans="1:1">
      <c r="A463" s="1"/>
    </row>
    <row r="464" spans="1:1">
      <c r="A464" s="1"/>
    </row>
    <row r="465" spans="1:1">
      <c r="A465" s="1"/>
    </row>
    <row r="466" spans="1:1">
      <c r="A466" s="1"/>
    </row>
    <row r="467" spans="1:1">
      <c r="A467" s="1"/>
    </row>
    <row r="468" spans="1:1">
      <c r="A468" s="1"/>
    </row>
    <row r="469" spans="1:1">
      <c r="A469" s="1"/>
    </row>
    <row r="470" spans="1:1">
      <c r="A470" s="1"/>
    </row>
    <row r="471" spans="1:1">
      <c r="A471" s="1"/>
    </row>
    <row r="472" spans="1:1">
      <c r="A472" s="1"/>
    </row>
    <row r="473" spans="1:1">
      <c r="A473" s="1"/>
    </row>
    <row r="474" spans="1:1">
      <c r="A474" s="1"/>
    </row>
    <row r="475" spans="1:1">
      <c r="A475" s="1"/>
    </row>
    <row r="476" spans="1:1">
      <c r="A476" s="1"/>
    </row>
    <row r="477" spans="1:1">
      <c r="A477" s="1"/>
    </row>
    <row r="478" spans="1:1">
      <c r="A478" s="1"/>
    </row>
    <row r="479" spans="1:1">
      <c r="A479" s="1"/>
    </row>
    <row r="480" spans="1:1">
      <c r="A480" s="1"/>
    </row>
    <row r="481" spans="1:1">
      <c r="A481" s="1"/>
    </row>
    <row r="482" spans="1:1">
      <c r="A482" s="1"/>
    </row>
    <row r="483" spans="1:1">
      <c r="A483" s="1"/>
    </row>
    <row r="484" spans="1:1">
      <c r="A484" s="1"/>
    </row>
    <row r="485" spans="1:1">
      <c r="A485" s="1"/>
    </row>
    <row r="486" spans="1:1">
      <c r="A486" s="1"/>
    </row>
    <row r="487" spans="1:1">
      <c r="A487" s="1"/>
    </row>
    <row r="488" spans="1:1">
      <c r="A488" s="1"/>
    </row>
    <row r="489" spans="1:1">
      <c r="A489" s="1"/>
    </row>
    <row r="490" spans="1:1">
      <c r="A490" s="1"/>
    </row>
    <row r="491" spans="1:1">
      <c r="A491" s="1"/>
    </row>
    <row r="492" spans="1:1">
      <c r="A492" s="1"/>
    </row>
    <row r="493" spans="1:1">
      <c r="A493" s="1"/>
    </row>
    <row r="494" spans="1:1">
      <c r="A494" s="1"/>
    </row>
    <row r="495" spans="1:1">
      <c r="A495" s="1"/>
    </row>
    <row r="496" spans="1:1">
      <c r="A496" s="1"/>
    </row>
    <row r="497" spans="1:1">
      <c r="A497" s="1"/>
    </row>
    <row r="498" spans="1:1">
      <c r="A498" s="1"/>
    </row>
    <row r="499" spans="1:1">
      <c r="A499" s="1"/>
    </row>
    <row r="500" spans="1:1">
      <c r="A500" s="1"/>
    </row>
    <row r="501" spans="1:1">
      <c r="A501" s="1"/>
    </row>
    <row r="502" spans="1:1">
      <c r="A502" s="1"/>
    </row>
    <row r="503" spans="1:1">
      <c r="A503" s="1"/>
    </row>
    <row r="504" spans="1:1">
      <c r="A504" s="1"/>
    </row>
    <row r="505" spans="1:1">
      <c r="A505" s="1"/>
    </row>
    <row r="506" spans="1:1">
      <c r="A506" s="1"/>
    </row>
    <row r="507" spans="1:1">
      <c r="A507" s="1"/>
    </row>
    <row r="508" spans="1:1">
      <c r="A508" s="1"/>
    </row>
    <row r="509" spans="1:1">
      <c r="A509" s="1"/>
    </row>
    <row r="510" spans="1:1">
      <c r="A510" s="1"/>
    </row>
    <row r="511" spans="1:1">
      <c r="A511" s="1"/>
    </row>
    <row r="512" spans="1:1">
      <c r="A512" s="1"/>
    </row>
    <row r="513" spans="1:1">
      <c r="A513" s="1"/>
    </row>
    <row r="514" spans="1:1">
      <c r="A514" s="1"/>
    </row>
    <row r="515" spans="1:1">
      <c r="A515" s="1"/>
    </row>
    <row r="516" spans="1:1">
      <c r="A516" s="1"/>
    </row>
    <row r="517" spans="1:1">
      <c r="A517" s="1"/>
    </row>
    <row r="518" spans="1:1">
      <c r="A518" s="1"/>
    </row>
    <row r="519" spans="1:1">
      <c r="A519" s="1"/>
    </row>
    <row r="520" spans="1:1">
      <c r="A520" s="1"/>
    </row>
    <row r="521" spans="1:1">
      <c r="A521" s="1"/>
    </row>
    <row r="522" spans="1:1">
      <c r="A522" s="1"/>
    </row>
    <row r="523" spans="1:1">
      <c r="A523" s="1"/>
    </row>
    <row r="524" spans="1:1">
      <c r="A524" s="1"/>
    </row>
    <row r="525" spans="1:1">
      <c r="A525" s="1"/>
    </row>
    <row r="526" spans="1:1">
      <c r="A526" s="1"/>
    </row>
    <row r="527" spans="1:1">
      <c r="A527" s="1"/>
    </row>
    <row r="528" spans="1:1">
      <c r="A528" s="1"/>
    </row>
    <row r="529" spans="1:1">
      <c r="A529" s="1"/>
    </row>
    <row r="530" spans="1:1">
      <c r="A530" s="1"/>
    </row>
    <row r="531" spans="1:1">
      <c r="A531" s="1"/>
    </row>
    <row r="532" spans="1:1">
      <c r="A532" s="1"/>
    </row>
    <row r="533" spans="1:1">
      <c r="A533" s="1"/>
    </row>
    <row r="534" spans="1:1">
      <c r="A534" s="1"/>
    </row>
    <row r="535" spans="1:1">
      <c r="A535" s="1"/>
    </row>
    <row r="536" spans="1:1">
      <c r="A536" s="1"/>
    </row>
    <row r="537" spans="1:1">
      <c r="A537" s="1"/>
    </row>
    <row r="538" spans="1:1">
      <c r="A538" s="1"/>
    </row>
    <row r="539" spans="1:1">
      <c r="A539" s="1"/>
    </row>
    <row r="540" spans="1:1">
      <c r="A540" s="1"/>
    </row>
    <row r="541" spans="1:1">
      <c r="A541" s="1"/>
    </row>
    <row r="542" spans="1:1">
      <c r="A542" s="1"/>
    </row>
    <row r="543" spans="1:1">
      <c r="A543" s="1"/>
    </row>
    <row r="544" spans="1:1">
      <c r="A544" s="1"/>
    </row>
    <row r="545" spans="1:1">
      <c r="A545" s="1"/>
    </row>
    <row r="546" spans="1:1">
      <c r="A546" s="1"/>
    </row>
    <row r="547" spans="1:1">
      <c r="A547" s="1"/>
    </row>
    <row r="548" spans="1:1">
      <c r="A548" s="1"/>
    </row>
    <row r="549" spans="1:1">
      <c r="A549" s="1"/>
    </row>
    <row r="550" spans="1:1">
      <c r="A550" s="1"/>
    </row>
    <row r="551" spans="1:1">
      <c r="A551" s="1"/>
    </row>
    <row r="552" spans="1:1">
      <c r="A552" s="1"/>
    </row>
    <row r="553" spans="1:1">
      <c r="A553" s="1"/>
    </row>
    <row r="554" spans="1:1">
      <c r="A554" s="1"/>
    </row>
    <row r="555" spans="1:1">
      <c r="A555" s="1"/>
    </row>
    <row r="556" spans="1:1">
      <c r="A556" s="1"/>
    </row>
    <row r="557" spans="1:1">
      <c r="A557" s="1"/>
    </row>
    <row r="558" spans="1:1">
      <c r="A558" s="1"/>
    </row>
    <row r="559" spans="1:1">
      <c r="A559" s="1"/>
    </row>
    <row r="560" spans="1:1">
      <c r="A560" s="1"/>
    </row>
    <row r="561" spans="1:1">
      <c r="A561" s="1"/>
    </row>
    <row r="562" spans="1:1">
      <c r="A562" s="1"/>
    </row>
    <row r="563" spans="1:1">
      <c r="A563" s="1"/>
    </row>
    <row r="564" spans="1:1">
      <c r="A564" s="1"/>
    </row>
    <row r="565" spans="1:1">
      <c r="A565" s="1"/>
    </row>
    <row r="566" spans="1:1">
      <c r="A566" s="1"/>
    </row>
    <row r="567" spans="1:1">
      <c r="A567" s="1"/>
    </row>
    <row r="568" spans="1:1">
      <c r="A568" s="1"/>
    </row>
    <row r="569" spans="1:1">
      <c r="A569" s="1"/>
    </row>
    <row r="570" spans="1:1">
      <c r="A570" s="1"/>
    </row>
    <row r="571" spans="1:1">
      <c r="A571" s="1"/>
    </row>
    <row r="572" spans="1:1">
      <c r="A572" s="1"/>
    </row>
    <row r="573" spans="1:1">
      <c r="A573" s="1"/>
    </row>
    <row r="574" spans="1:1">
      <c r="A574" s="1"/>
    </row>
    <row r="575" spans="1:1">
      <c r="A575" s="1"/>
    </row>
    <row r="576" spans="1:1">
      <c r="A576" s="1"/>
    </row>
    <row r="577" spans="1:1">
      <c r="A577" s="1"/>
    </row>
    <row r="578" spans="1:1">
      <c r="A578" s="1"/>
    </row>
    <row r="579" spans="1:1">
      <c r="A579" s="1"/>
    </row>
    <row r="580" spans="1:1">
      <c r="A580" s="1"/>
    </row>
    <row r="581" spans="1:1">
      <c r="A581" s="1"/>
    </row>
    <row r="582" spans="1:1">
      <c r="A582" s="1"/>
    </row>
    <row r="583" spans="1:1">
      <c r="A583" s="1"/>
    </row>
    <row r="584" spans="1:1">
      <c r="A584" s="1"/>
    </row>
    <row r="585" spans="1:1">
      <c r="A585" s="1"/>
    </row>
    <row r="586" spans="1:1">
      <c r="A586" s="1"/>
    </row>
    <row r="587" spans="1:1">
      <c r="A587" s="1"/>
    </row>
    <row r="588" spans="1:1">
      <c r="A588" s="1"/>
    </row>
    <row r="589" spans="1:1">
      <c r="A589" s="1"/>
    </row>
    <row r="590" spans="1:1">
      <c r="A590" s="1"/>
    </row>
    <row r="591" spans="1:1">
      <c r="A591" s="1"/>
    </row>
    <row r="592" spans="1:1">
      <c r="A592" s="1"/>
    </row>
    <row r="593" spans="1:1">
      <c r="A593" s="1"/>
    </row>
    <row r="594" spans="1:1">
      <c r="A594" s="1"/>
    </row>
    <row r="595" spans="1:1">
      <c r="A595" s="1"/>
    </row>
    <row r="596" spans="1:1">
      <c r="A596" s="1"/>
    </row>
    <row r="597" spans="1:1">
      <c r="A597" s="1"/>
    </row>
    <row r="598" spans="1:1">
      <c r="A598" s="1"/>
    </row>
    <row r="599" spans="1:1">
      <c r="A599" s="1"/>
    </row>
    <row r="600" spans="1:1">
      <c r="A600" s="1"/>
    </row>
    <row r="601" spans="1:1">
      <c r="A601" s="1"/>
    </row>
    <row r="602" spans="1:1">
      <c r="A602" s="1"/>
    </row>
    <row r="603" spans="1:1">
      <c r="A603" s="1"/>
    </row>
    <row r="604" spans="1:1">
      <c r="A604" s="1"/>
    </row>
    <row r="605" spans="1:1">
      <c r="A605" s="1"/>
    </row>
    <row r="606" spans="1:1">
      <c r="A606" s="1"/>
    </row>
    <row r="607" spans="1:1">
      <c r="A607" s="1"/>
    </row>
    <row r="608" spans="1:1">
      <c r="A608" s="1"/>
    </row>
    <row r="609" spans="1:1">
      <c r="A609" s="1"/>
    </row>
    <row r="610" spans="1:1">
      <c r="A610" s="1"/>
    </row>
    <row r="611" spans="1:1">
      <c r="A611" s="1"/>
    </row>
    <row r="612" spans="1:1">
      <c r="A612" s="1"/>
    </row>
    <row r="613" spans="1:1">
      <c r="A613" s="1"/>
    </row>
    <row r="614" spans="1:1">
      <c r="A614" s="1"/>
    </row>
    <row r="615" spans="1:1">
      <c r="A615" s="1"/>
    </row>
    <row r="616" spans="1:1">
      <c r="A616" s="1"/>
    </row>
    <row r="617" spans="1:1">
      <c r="A617" s="1"/>
    </row>
    <row r="618" spans="1:1">
      <c r="A618" s="1"/>
    </row>
    <row r="619" spans="1:1">
      <c r="A619" s="1"/>
    </row>
    <row r="620" spans="1:1">
      <c r="A620" s="1"/>
    </row>
    <row r="621" spans="1:1">
      <c r="A621" s="1"/>
    </row>
    <row r="622" spans="1:1">
      <c r="A622" s="1"/>
    </row>
    <row r="623" spans="1:1">
      <c r="A623" s="1"/>
    </row>
    <row r="624" spans="1:1">
      <c r="A624" s="1"/>
    </row>
    <row r="625" spans="1:1">
      <c r="A625" s="1"/>
    </row>
    <row r="626" spans="1:1">
      <c r="A626" s="1"/>
    </row>
    <row r="627" spans="1:1">
      <c r="A627" s="1"/>
    </row>
    <row r="628" spans="1:1">
      <c r="A628" s="1"/>
    </row>
    <row r="629" spans="1:1">
      <c r="A629" s="1"/>
    </row>
    <row r="630" spans="1:1">
      <c r="A630" s="1"/>
    </row>
    <row r="631" spans="1:1">
      <c r="A631" s="1"/>
    </row>
    <row r="632" spans="1:1">
      <c r="A632" s="1"/>
    </row>
    <row r="633" spans="1:1">
      <c r="A633" s="1"/>
    </row>
    <row r="634" spans="1:1">
      <c r="A634" s="1"/>
    </row>
    <row r="635" spans="1:1">
      <c r="A635" s="1"/>
    </row>
    <row r="636" spans="1:1">
      <c r="A636" s="1"/>
    </row>
    <row r="637" spans="1:1">
      <c r="A637" s="1"/>
    </row>
    <row r="638" spans="1:1">
      <c r="A638" s="1"/>
    </row>
    <row r="639" spans="1:1">
      <c r="A639" s="1"/>
    </row>
    <row r="640" spans="1:1">
      <c r="A640" s="1"/>
    </row>
    <row r="641" spans="1:1">
      <c r="A641" s="1"/>
    </row>
    <row r="642" spans="1:1">
      <c r="A642" s="1"/>
    </row>
    <row r="643" spans="1:1">
      <c r="A643" s="1"/>
    </row>
    <row r="644" spans="1:1">
      <c r="A644" s="1"/>
    </row>
    <row r="645" spans="1:1">
      <c r="A645" s="1"/>
    </row>
    <row r="646" spans="1:1">
      <c r="A646" s="1"/>
    </row>
    <row r="647" spans="1:1">
      <c r="A647" s="1"/>
    </row>
    <row r="648" spans="1:1">
      <c r="A648" s="1"/>
    </row>
    <row r="649" spans="1:1">
      <c r="A649" s="1"/>
    </row>
    <row r="650" spans="1:1">
      <c r="A650" s="1"/>
    </row>
    <row r="651" spans="1:1">
      <c r="A651" s="1"/>
    </row>
    <row r="652" spans="1:1">
      <c r="A652" s="1"/>
    </row>
    <row r="653" spans="1:1">
      <c r="A653" s="1"/>
    </row>
    <row r="654" spans="1:1">
      <c r="A654" s="1"/>
    </row>
    <row r="655" spans="1:1">
      <c r="A655" s="1"/>
    </row>
    <row r="656" spans="1:1">
      <c r="A656" s="1"/>
    </row>
    <row r="657" spans="1:1">
      <c r="A657" s="1"/>
    </row>
    <row r="658" spans="1:1">
      <c r="A658" s="1"/>
    </row>
    <row r="659" spans="1:1">
      <c r="A659" s="1"/>
    </row>
    <row r="660" spans="1:1">
      <c r="A660" s="1"/>
    </row>
    <row r="661" spans="1:1">
      <c r="A661" s="1"/>
    </row>
    <row r="662" spans="1:1">
      <c r="A662" s="1"/>
    </row>
    <row r="663" spans="1:1">
      <c r="A663" s="1"/>
    </row>
    <row r="664" spans="1:1">
      <c r="A664" s="1"/>
    </row>
    <row r="665" spans="1:1">
      <c r="A665" s="1"/>
    </row>
    <row r="666" spans="1:1">
      <c r="A666" s="1"/>
    </row>
    <row r="667" spans="1:1">
      <c r="A667" s="1"/>
    </row>
    <row r="668" spans="1:1">
      <c r="A668" s="1"/>
    </row>
    <row r="669" spans="1:1">
      <c r="A669" s="1"/>
    </row>
    <row r="670" spans="1:1">
      <c r="A670" s="1"/>
    </row>
    <row r="671" spans="1:1">
      <c r="A671" s="1"/>
    </row>
    <row r="672" spans="1:1">
      <c r="A672" s="1"/>
    </row>
    <row r="673" spans="1:1">
      <c r="A673" s="1"/>
    </row>
    <row r="674" spans="1:1">
      <c r="A674" s="1"/>
    </row>
    <row r="675" spans="1:1">
      <c r="A675" s="1"/>
    </row>
    <row r="676" spans="1:1">
      <c r="A676" s="1"/>
    </row>
    <row r="677" spans="1:1">
      <c r="A677" s="1"/>
    </row>
    <row r="678" spans="1:1">
      <c r="A678" s="1"/>
    </row>
    <row r="679" spans="1:1">
      <c r="A679" s="1"/>
    </row>
    <row r="680" spans="1:1">
      <c r="A680" s="1"/>
    </row>
    <row r="681" spans="1:1">
      <c r="A681" s="1"/>
    </row>
    <row r="682" spans="1:1">
      <c r="A682" s="1"/>
    </row>
    <row r="683" spans="1:1">
      <c r="A683" s="1"/>
    </row>
    <row r="684" spans="1:1">
      <c r="A684" s="1"/>
    </row>
    <row r="685" spans="1:1">
      <c r="A685" s="1"/>
    </row>
    <row r="686" spans="1:1">
      <c r="A686" s="1"/>
    </row>
    <row r="687" spans="1:1">
      <c r="A687" s="1"/>
    </row>
    <row r="688" spans="1:1">
      <c r="A688" s="1"/>
    </row>
    <row r="689" spans="1:1">
      <c r="A689" s="1"/>
    </row>
    <row r="690" spans="1:1">
      <c r="A690" s="1"/>
    </row>
    <row r="691" spans="1:1">
      <c r="A691" s="1"/>
    </row>
    <row r="692" spans="1:1">
      <c r="A692" s="1"/>
    </row>
    <row r="693" spans="1:1">
      <c r="A693" s="1"/>
    </row>
    <row r="694" spans="1:1">
      <c r="A694" s="1"/>
    </row>
    <row r="695" spans="1:1">
      <c r="A695" s="1"/>
    </row>
    <row r="696" spans="1:1">
      <c r="A696" s="1"/>
    </row>
    <row r="697" spans="1:1">
      <c r="A697" s="1"/>
    </row>
    <row r="698" spans="1:1">
      <c r="A698" s="1"/>
    </row>
    <row r="699" spans="1:1">
      <c r="A699" s="1"/>
    </row>
    <row r="700" spans="1:1">
      <c r="A700" s="1"/>
    </row>
    <row r="701" spans="1:1">
      <c r="A701" s="1"/>
    </row>
    <row r="702" spans="1:1">
      <c r="A702" s="1"/>
    </row>
    <row r="703" spans="1:1">
      <c r="A703" s="1"/>
    </row>
    <row r="704" spans="1:1">
      <c r="A704" s="1"/>
    </row>
    <row r="705" spans="1:1">
      <c r="A705" s="1"/>
    </row>
    <row r="706" spans="1:1">
      <c r="A706" s="1"/>
    </row>
    <row r="707" spans="1:1">
      <c r="A707" s="1"/>
    </row>
    <row r="708" spans="1:1">
      <c r="A708" s="1"/>
    </row>
    <row r="709" spans="1:1">
      <c r="A709" s="1"/>
    </row>
    <row r="710" spans="1:1">
      <c r="A710" s="1"/>
    </row>
    <row r="711" spans="1:1">
      <c r="A711" s="1"/>
    </row>
    <row r="712" spans="1:1">
      <c r="A712" s="1"/>
    </row>
    <row r="713" spans="1:1">
      <c r="A713" s="1"/>
    </row>
    <row r="714" spans="1:1">
      <c r="A714" s="1"/>
    </row>
    <row r="715" spans="1:1">
      <c r="A715" s="1"/>
    </row>
    <row r="716" spans="1:1">
      <c r="A716" s="1"/>
    </row>
    <row r="717" spans="1:1">
      <c r="A717" s="1"/>
    </row>
    <row r="718" spans="1:1">
      <c r="A718" s="1"/>
    </row>
    <row r="719" spans="1:1">
      <c r="A719" s="1"/>
    </row>
    <row r="720" spans="1:1">
      <c r="A720" s="1"/>
    </row>
    <row r="721" spans="1:1">
      <c r="A721" s="1"/>
    </row>
    <row r="722" spans="1:1">
      <c r="A722" s="1"/>
    </row>
    <row r="723" spans="1:1">
      <c r="A723" s="1"/>
    </row>
    <row r="724" spans="1:1">
      <c r="A724" s="1"/>
    </row>
    <row r="725" spans="1:1">
      <c r="A725" s="1"/>
    </row>
    <row r="726" spans="1:1">
      <c r="A726" s="1"/>
    </row>
    <row r="727" spans="1:1">
      <c r="A727" s="1"/>
    </row>
    <row r="728" spans="1:1">
      <c r="A728" s="1"/>
    </row>
    <row r="729" spans="1:1">
      <c r="A729" s="1"/>
    </row>
    <row r="730" spans="1:1">
      <c r="A730" s="1"/>
    </row>
    <row r="731" spans="1:1">
      <c r="A731" s="1"/>
    </row>
    <row r="732" spans="1:1">
      <c r="A732" s="1"/>
    </row>
    <row r="733" spans="1:1">
      <c r="A733" s="1"/>
    </row>
    <row r="734" spans="1:1">
      <c r="A734" s="1"/>
    </row>
    <row r="735" spans="1:1">
      <c r="A735" s="1"/>
    </row>
    <row r="736" spans="1:1">
      <c r="A736" s="1"/>
    </row>
    <row r="737" spans="1:1">
      <c r="A737" s="1"/>
    </row>
    <row r="738" spans="1:1">
      <c r="A738" s="1"/>
    </row>
    <row r="739" spans="1:1">
      <c r="A739" s="1"/>
    </row>
    <row r="740" spans="1:1">
      <c r="A740" s="1"/>
    </row>
    <row r="741" spans="1:1">
      <c r="A741" s="1"/>
    </row>
    <row r="742" spans="1:1">
      <c r="A742" s="1"/>
    </row>
    <row r="743" spans="1:1">
      <c r="A743" s="1"/>
    </row>
    <row r="744" spans="1:1">
      <c r="A744" s="1"/>
    </row>
    <row r="745" spans="1:1">
      <c r="A745" s="1"/>
    </row>
    <row r="746" spans="1:1">
      <c r="A746" s="1"/>
    </row>
    <row r="747" spans="1:1">
      <c r="A747" s="1"/>
    </row>
    <row r="748" spans="1:1">
      <c r="A748" s="1"/>
    </row>
    <row r="749" spans="1:1">
      <c r="A749" s="1"/>
    </row>
    <row r="750" spans="1:1">
      <c r="A750" s="1"/>
    </row>
    <row r="751" spans="1:1">
      <c r="A751" s="1"/>
    </row>
    <row r="752" spans="1:1">
      <c r="A752" s="1"/>
    </row>
    <row r="753" spans="1:1">
      <c r="A753" s="1"/>
    </row>
    <row r="754" spans="1:1">
      <c r="A754" s="1"/>
    </row>
    <row r="755" spans="1:1">
      <c r="A755" s="1"/>
    </row>
    <row r="756" spans="1:1">
      <c r="A756" s="1"/>
    </row>
    <row r="757" spans="1:1">
      <c r="A757" s="1"/>
    </row>
    <row r="758" spans="1:1">
      <c r="A758" s="1"/>
    </row>
    <row r="759" spans="1:1">
      <c r="A759" s="1"/>
    </row>
    <row r="760" spans="1:1">
      <c r="A760" s="1"/>
    </row>
    <row r="761" spans="1:1">
      <c r="A761" s="1"/>
    </row>
    <row r="762" spans="1:1">
      <c r="A762" s="1"/>
    </row>
    <row r="763" spans="1:1">
      <c r="A763" s="1"/>
    </row>
    <row r="764" spans="1:1">
      <c r="A764" s="1"/>
    </row>
    <row r="765" spans="1:1">
      <c r="A765" s="1"/>
    </row>
    <row r="766" spans="1:1">
      <c r="A766" s="1"/>
    </row>
    <row r="767" spans="1:1">
      <c r="A767" s="1"/>
    </row>
    <row r="768" spans="1:1">
      <c r="A768" s="1"/>
    </row>
    <row r="769" spans="1:1">
      <c r="A769" s="1"/>
    </row>
    <row r="770" spans="1:1">
      <c r="A770" s="1"/>
    </row>
    <row r="771" spans="1:1">
      <c r="A771" s="1"/>
    </row>
    <row r="772" spans="1:1">
      <c r="A772" s="1"/>
    </row>
    <row r="773" spans="1:1">
      <c r="A773" s="1"/>
    </row>
    <row r="774" spans="1:1">
      <c r="A774" s="1"/>
    </row>
    <row r="775" spans="1:1">
      <c r="A775" s="1"/>
    </row>
    <row r="776" spans="1:1">
      <c r="A776" s="1"/>
    </row>
    <row r="777" spans="1:1">
      <c r="A777" s="1"/>
    </row>
    <row r="778" spans="1:1">
      <c r="A778" s="1"/>
    </row>
    <row r="779" spans="1:1">
      <c r="A779" s="1"/>
    </row>
    <row r="780" spans="1:1">
      <c r="A780" s="1"/>
    </row>
    <row r="781" spans="1:1">
      <c r="A781" s="1"/>
    </row>
    <row r="782" spans="1:1">
      <c r="A782" s="1"/>
    </row>
    <row r="783" spans="1:1">
      <c r="A783" s="1"/>
    </row>
    <row r="784" spans="1:1">
      <c r="A784" s="1"/>
    </row>
    <row r="785" spans="1:1">
      <c r="A785" s="1"/>
    </row>
    <row r="786" spans="1:1">
      <c r="A786" s="1"/>
    </row>
    <row r="787" spans="1:1">
      <c r="A787" s="1"/>
    </row>
    <row r="788" spans="1:1">
      <c r="A788" s="1"/>
    </row>
    <row r="789" spans="1:1">
      <c r="A789" s="1"/>
    </row>
    <row r="790" spans="1:1">
      <c r="A790" s="1"/>
    </row>
    <row r="791" spans="1:1">
      <c r="A791" s="1"/>
    </row>
    <row r="792" spans="1:1">
      <c r="A792" s="1"/>
    </row>
    <row r="793" spans="1:1">
      <c r="A793" s="1"/>
    </row>
    <row r="794" spans="1:1">
      <c r="A794" s="1"/>
    </row>
    <row r="795" spans="1:1">
      <c r="A795" s="1"/>
    </row>
    <row r="796" spans="1:1">
      <c r="A796" s="1"/>
    </row>
    <row r="797" spans="1:1">
      <c r="A797" s="1"/>
    </row>
    <row r="798" spans="1:1">
      <c r="A798" s="1"/>
    </row>
    <row r="799" spans="1:1">
      <c r="A799" s="1"/>
    </row>
    <row r="800" spans="1:1">
      <c r="A800" s="1"/>
    </row>
    <row r="801" spans="1:1">
      <c r="A801" s="1"/>
    </row>
    <row r="802" spans="1:1">
      <c r="A802" s="1"/>
    </row>
    <row r="803" spans="1:1">
      <c r="A803" s="1"/>
    </row>
    <row r="804" spans="1:1">
      <c r="A804" s="1"/>
    </row>
    <row r="805" spans="1:1">
      <c r="A805" s="1"/>
    </row>
    <row r="806" spans="1:1">
      <c r="A806" s="1"/>
    </row>
    <row r="807" spans="1:1">
      <c r="A807" s="1"/>
    </row>
    <row r="808" spans="1:1">
      <c r="A808" s="1"/>
    </row>
    <row r="809" spans="1:1">
      <c r="A809" s="1"/>
    </row>
    <row r="810" spans="1:1">
      <c r="A810" s="1"/>
    </row>
    <row r="811" spans="1:1">
      <c r="A811" s="1"/>
    </row>
    <row r="812" spans="1:1">
      <c r="A812" s="1"/>
    </row>
    <row r="813" spans="1:1">
      <c r="A813" s="1"/>
    </row>
    <row r="814" spans="1:1">
      <c r="A814" s="1"/>
    </row>
    <row r="815" spans="1:1">
      <c r="A815" s="1"/>
    </row>
    <row r="816" spans="1:1">
      <c r="A816" s="1"/>
    </row>
    <row r="817" spans="1:1">
      <c r="A817" s="1"/>
    </row>
    <row r="818" spans="1:1">
      <c r="A818" s="1"/>
    </row>
    <row r="819" spans="1:1">
      <c r="A819" s="1"/>
    </row>
    <row r="820" spans="1:1">
      <c r="A820" s="1"/>
    </row>
    <row r="821" spans="1:1">
      <c r="A821" s="1"/>
    </row>
    <row r="822" spans="1:1">
      <c r="A822" s="1"/>
    </row>
    <row r="823" spans="1:1">
      <c r="A823" s="1"/>
    </row>
    <row r="824" spans="1:1">
      <c r="A824" s="1"/>
    </row>
    <row r="825" spans="1:1">
      <c r="A825" s="1"/>
    </row>
    <row r="826" spans="1:1">
      <c r="A826" s="1"/>
    </row>
    <row r="827" spans="1:1">
      <c r="A827" s="1"/>
    </row>
    <row r="828" spans="1:1">
      <c r="A828" s="1"/>
    </row>
    <row r="829" spans="1:1">
      <c r="A829" s="1"/>
    </row>
    <row r="830" spans="1:1">
      <c r="A830" s="1"/>
    </row>
    <row r="831" spans="1:1">
      <c r="A831" s="1"/>
    </row>
    <row r="832" spans="1:1">
      <c r="A832" s="1"/>
    </row>
    <row r="833" spans="1:1">
      <c r="A833" s="1"/>
    </row>
    <row r="834" spans="1:1">
      <c r="A834" s="1"/>
    </row>
    <row r="835" spans="1:1">
      <c r="A835" s="1"/>
    </row>
    <row r="836" spans="1:1">
      <c r="A836" s="1"/>
    </row>
    <row r="837" spans="1:1">
      <c r="A837" s="1"/>
    </row>
    <row r="838" spans="1:1">
      <c r="A838" s="1"/>
    </row>
    <row r="839" spans="1:1">
      <c r="A839" s="1"/>
    </row>
    <row r="840" spans="1:1">
      <c r="A840" s="1"/>
    </row>
    <row r="841" spans="1:1">
      <c r="A841" s="1"/>
    </row>
    <row r="842" spans="1:1">
      <c r="A842" s="1"/>
    </row>
    <row r="843" spans="1:1">
      <c r="A843" s="1"/>
    </row>
    <row r="844" spans="1:1">
      <c r="A844" s="1"/>
    </row>
    <row r="845" spans="1:1">
      <c r="A845" s="1"/>
    </row>
    <row r="846" spans="1:1">
      <c r="A846" s="1"/>
    </row>
    <row r="847" spans="1:1">
      <c r="A847" s="1"/>
    </row>
    <row r="848" spans="1:1">
      <c r="A848" s="1"/>
    </row>
    <row r="849" spans="1:1">
      <c r="A849" s="1"/>
    </row>
    <row r="850" spans="1:1">
      <c r="A850" s="1"/>
    </row>
    <row r="851" spans="1:1">
      <c r="A851" s="1"/>
    </row>
    <row r="852" spans="1:1">
      <c r="A852" s="1"/>
    </row>
    <row r="853" spans="1:1">
      <c r="A853" s="1"/>
    </row>
    <row r="854" spans="1:1">
      <c r="A854" s="1"/>
    </row>
    <row r="855" spans="1:1">
      <c r="A855" s="1"/>
    </row>
    <row r="856" spans="1:1">
      <c r="A856" s="1"/>
    </row>
    <row r="857" spans="1:1">
      <c r="A857" s="1"/>
    </row>
    <row r="858" spans="1:1">
      <c r="A858" s="1"/>
    </row>
    <row r="859" spans="1:1">
      <c r="A859" s="1"/>
    </row>
    <row r="860" spans="1:1">
      <c r="A860" s="1"/>
    </row>
    <row r="861" spans="1:1">
      <c r="A861" s="1"/>
    </row>
    <row r="862" spans="1:1">
      <c r="A862" s="1"/>
    </row>
    <row r="863" spans="1:1">
      <c r="A863" s="1"/>
    </row>
    <row r="864" spans="1:1">
      <c r="A864" s="1"/>
    </row>
    <row r="865" spans="1:1">
      <c r="A865" s="1"/>
    </row>
    <row r="866" spans="1:1">
      <c r="A866" s="1"/>
    </row>
    <row r="867" spans="1:1">
      <c r="A867" s="1"/>
    </row>
    <row r="868" spans="1:1">
      <c r="A868" s="1"/>
    </row>
    <row r="869" spans="1:1">
      <c r="A869" s="1"/>
    </row>
    <row r="870" spans="1:1">
      <c r="A870" s="1"/>
    </row>
    <row r="871" spans="1:1">
      <c r="A871" s="1"/>
    </row>
    <row r="872" spans="1:1">
      <c r="A872" s="1"/>
    </row>
    <row r="873" spans="1:1">
      <c r="A873" s="1"/>
    </row>
    <row r="874" spans="1:1">
      <c r="A874" s="1"/>
    </row>
    <row r="875" spans="1:1">
      <c r="A875" s="1"/>
    </row>
    <row r="876" spans="1:1">
      <c r="A876" s="1"/>
    </row>
    <row r="877" spans="1:1">
      <c r="A877" s="1"/>
    </row>
    <row r="878" spans="1:1">
      <c r="A878" s="1"/>
    </row>
    <row r="879" spans="1:1">
      <c r="A879" s="1"/>
    </row>
    <row r="880" spans="1:1">
      <c r="A880" s="1"/>
    </row>
    <row r="881" spans="1:1">
      <c r="A881" s="1"/>
    </row>
    <row r="882" spans="1:1">
      <c r="A882" s="1"/>
    </row>
    <row r="883" spans="1:1">
      <c r="A883" s="1"/>
    </row>
    <row r="884" spans="1:1">
      <c r="A884" s="1"/>
    </row>
    <row r="885" spans="1:1">
      <c r="A885" s="1"/>
    </row>
    <row r="886" spans="1:1">
      <c r="A886" s="1"/>
    </row>
    <row r="887" spans="1:1">
      <c r="A887" s="1"/>
    </row>
    <row r="888" spans="1:1">
      <c r="A888" s="1"/>
    </row>
    <row r="889" spans="1:1">
      <c r="A889" s="1"/>
    </row>
    <row r="890" spans="1:1">
      <c r="A890" s="1"/>
    </row>
    <row r="891" spans="1:1">
      <c r="A891" s="1"/>
    </row>
    <row r="892" spans="1:1">
      <c r="A892" s="1"/>
    </row>
    <row r="893" spans="1:1">
      <c r="A893" s="1"/>
    </row>
    <row r="894" spans="1:1">
      <c r="A894" s="1"/>
    </row>
    <row r="895" spans="1:1">
      <c r="A895" s="1"/>
    </row>
    <row r="896" spans="1:1">
      <c r="A896" s="1"/>
    </row>
    <row r="897" spans="1:1">
      <c r="A897" s="1"/>
    </row>
    <row r="898" spans="1:1">
      <c r="A898" s="1"/>
    </row>
    <row r="899" spans="1:1">
      <c r="A899" s="1"/>
    </row>
    <row r="900" spans="1:1">
      <c r="A900" s="1"/>
    </row>
    <row r="901" spans="1:1">
      <c r="A901" s="1"/>
    </row>
    <row r="902" spans="1:1">
      <c r="A902" s="1"/>
    </row>
    <row r="903" spans="1:1">
      <c r="A903" s="1"/>
    </row>
    <row r="904" spans="1:1">
      <c r="A904" s="1"/>
    </row>
    <row r="905" spans="1:1">
      <c r="A905" s="1"/>
    </row>
    <row r="906" spans="1:1">
      <c r="A906" s="1"/>
    </row>
    <row r="907" spans="1:1">
      <c r="A907" s="1"/>
    </row>
    <row r="908" spans="1:1">
      <c r="A908" s="1"/>
    </row>
    <row r="909" spans="1:1">
      <c r="A909" s="1"/>
    </row>
    <row r="910" spans="1:1">
      <c r="A910" s="1"/>
    </row>
    <row r="911" spans="1:1">
      <c r="A911" s="1"/>
    </row>
    <row r="912" spans="1:1">
      <c r="A912" s="1"/>
    </row>
    <row r="913" spans="1:1">
      <c r="A913" s="1"/>
    </row>
    <row r="914" spans="1:1">
      <c r="A914" s="1"/>
    </row>
    <row r="915" spans="1:1">
      <c r="A915" s="1"/>
    </row>
    <row r="916" spans="1:1">
      <c r="A916" s="1"/>
    </row>
    <row r="917" spans="1:1">
      <c r="A917" s="1"/>
    </row>
    <row r="918" spans="1:1">
      <c r="A918" s="1"/>
    </row>
    <row r="919" spans="1:1">
      <c r="A919" s="1"/>
    </row>
    <row r="920" spans="1:1">
      <c r="A920" s="1"/>
    </row>
    <row r="921" spans="1:1">
      <c r="A921" s="1"/>
    </row>
    <row r="922" spans="1:1">
      <c r="A922" s="1"/>
    </row>
    <row r="923" spans="1:1">
      <c r="A923" s="1"/>
    </row>
    <row r="924" spans="1:1">
      <c r="A924" s="1"/>
    </row>
    <row r="925" spans="1:1">
      <c r="A925" s="1"/>
    </row>
    <row r="926" spans="1:1">
      <c r="A926" s="1"/>
    </row>
    <row r="927" spans="1:1">
      <c r="A927" s="1"/>
    </row>
    <row r="928" spans="1:1">
      <c r="A928" s="1"/>
    </row>
    <row r="929" spans="1:1">
      <c r="A929" s="1"/>
    </row>
    <row r="930" spans="1:1">
      <c r="A930" s="1"/>
    </row>
    <row r="931" spans="1:1">
      <c r="A931" s="1"/>
    </row>
    <row r="932" spans="1:1">
      <c r="A932" s="1"/>
    </row>
    <row r="933" spans="1:1">
      <c r="A933" s="1"/>
    </row>
    <row r="934" spans="1:1">
      <c r="A934" s="1"/>
    </row>
    <row r="935" spans="1:1">
      <c r="A935" s="1"/>
    </row>
    <row r="936" spans="1:1">
      <c r="A936" s="1"/>
    </row>
    <row r="937" spans="1:1">
      <c r="A937" s="1"/>
    </row>
    <row r="938" spans="1:1">
      <c r="A938" s="1"/>
    </row>
    <row r="939" spans="1:1">
      <c r="A939" s="1"/>
    </row>
    <row r="940" spans="1:1">
      <c r="A940" s="1"/>
    </row>
    <row r="941" spans="1:1">
      <c r="A941" s="1"/>
    </row>
    <row r="942" spans="1:1">
      <c r="A942" s="1"/>
    </row>
    <row r="943" spans="1:1">
      <c r="A943" s="1"/>
    </row>
    <row r="944" spans="1:1">
      <c r="A944" s="1"/>
    </row>
    <row r="945" spans="1:1">
      <c r="A945" s="1"/>
    </row>
    <row r="946" spans="1:1">
      <c r="A946" s="1"/>
    </row>
    <row r="947" spans="1:1">
      <c r="A947" s="1"/>
    </row>
    <row r="948" spans="1:1">
      <c r="A948" s="1"/>
    </row>
    <row r="949" spans="1:1">
      <c r="A949" s="1"/>
    </row>
    <row r="950" spans="1:1">
      <c r="A950" s="1"/>
    </row>
    <row r="951" spans="1:1">
      <c r="A951" s="1"/>
    </row>
    <row r="952" spans="1:1">
      <c r="A952" s="1"/>
    </row>
    <row r="953" spans="1:1">
      <c r="A953" s="1"/>
    </row>
    <row r="954" spans="1:1">
      <c r="A954" s="1"/>
    </row>
    <row r="955" spans="1:1">
      <c r="A955" s="1"/>
    </row>
    <row r="956" spans="1:1">
      <c r="A956" s="1"/>
    </row>
    <row r="957" spans="1:1">
      <c r="A957" s="1"/>
    </row>
    <row r="958" spans="1:1">
      <c r="A958" s="1"/>
    </row>
    <row r="959" spans="1:1">
      <c r="A959" s="1"/>
    </row>
    <row r="960" spans="1:1">
      <c r="A960" s="1"/>
    </row>
    <row r="961" spans="1:1">
      <c r="A961" s="1"/>
    </row>
    <row r="962" spans="1:1">
      <c r="A962" s="1"/>
    </row>
    <row r="963" spans="1:1">
      <c r="A963" s="1"/>
    </row>
    <row r="964" spans="1:1">
      <c r="A964" s="1"/>
    </row>
    <row r="965" spans="1:1">
      <c r="A965" s="1"/>
    </row>
    <row r="966" spans="1:1">
      <c r="A966" s="1"/>
    </row>
    <row r="967" spans="1:1">
      <c r="A967" s="1"/>
    </row>
    <row r="968" spans="1:1">
      <c r="A968" s="1"/>
    </row>
    <row r="969" spans="1:1">
      <c r="A969" s="1"/>
    </row>
    <row r="970" spans="1:1">
      <c r="A970" s="1"/>
    </row>
    <row r="971" spans="1:1">
      <c r="A971" s="1"/>
    </row>
    <row r="972" spans="1:1">
      <c r="A972" s="1"/>
    </row>
    <row r="973" spans="1:1">
      <c r="A973" s="1"/>
    </row>
    <row r="974" spans="1:1">
      <c r="A974" s="1"/>
    </row>
    <row r="975" spans="1:1">
      <c r="A975" s="1"/>
    </row>
    <row r="976" spans="1:1">
      <c r="A976" s="1"/>
    </row>
    <row r="977" spans="1:1">
      <c r="A977" s="1"/>
    </row>
    <row r="978" spans="1:1">
      <c r="A978" s="1"/>
    </row>
    <row r="979" spans="1:1">
      <c r="A979" s="1"/>
    </row>
    <row r="980" spans="1:1">
      <c r="A980" s="1"/>
    </row>
    <row r="981" spans="1:1">
      <c r="A981" s="1"/>
    </row>
    <row r="982" spans="1:1">
      <c r="A982" s="1"/>
    </row>
    <row r="983" spans="1:1">
      <c r="A983" s="1"/>
    </row>
    <row r="984" spans="1:1">
      <c r="A984" s="1"/>
    </row>
    <row r="985" spans="1:1">
      <c r="A985" s="1"/>
    </row>
    <row r="986" spans="1:1">
      <c r="A986" s="1"/>
    </row>
    <row r="987" spans="1:1">
      <c r="A987" s="1"/>
    </row>
    <row r="988" spans="1:1">
      <c r="A988" s="1"/>
    </row>
    <row r="989" spans="1:1">
      <c r="A989" s="1"/>
    </row>
    <row r="990" spans="1:1">
      <c r="A990" s="1"/>
    </row>
    <row r="991" spans="1:1">
      <c r="A991" s="1"/>
    </row>
    <row r="992" spans="1:1">
      <c r="A992" s="1"/>
    </row>
    <row r="993" spans="1:1">
      <c r="A993" s="1"/>
    </row>
    <row r="994" spans="1:1">
      <c r="A994" s="1"/>
    </row>
    <row r="995" spans="1:1">
      <c r="A995" s="1"/>
    </row>
    <row r="996" spans="1:1">
      <c r="A996" s="1"/>
    </row>
    <row r="997" spans="1:1">
      <c r="A997" s="1"/>
    </row>
    <row r="998" spans="1:1">
      <c r="A998" s="1"/>
    </row>
    <row r="999" spans="1:1">
      <c r="A999" s="1"/>
    </row>
    <row r="1000" spans="1:1">
      <c r="A1000" s="1"/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08BAF-0710-44A3-8CEC-E6B07234A058}">
  <dimension ref="A1:Q31"/>
  <sheetViews>
    <sheetView topLeftCell="C10" workbookViewId="0">
      <selection activeCell="C30" sqref="C30"/>
    </sheetView>
  </sheetViews>
  <sheetFormatPr defaultRowHeight="12.75"/>
  <cols>
    <col min="1" max="1" width="21" customWidth="1"/>
    <col min="2" max="2" width="45.5703125" customWidth="1"/>
    <col min="3" max="3" width="19" customWidth="1"/>
    <col min="4" max="4" width="19.140625" customWidth="1"/>
    <col min="5" max="5" width="47.7109375" customWidth="1"/>
  </cols>
  <sheetData>
    <row r="1" spans="1:17" ht="15.75">
      <c r="A1" s="11"/>
      <c r="B1" s="11"/>
      <c r="C1" s="11"/>
      <c r="D1" s="11"/>
      <c r="E1" s="11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.75">
      <c r="A2" s="11"/>
      <c r="B2" s="11"/>
      <c r="C2" s="11"/>
      <c r="D2" s="11"/>
      <c r="E2" s="11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.75">
      <c r="A3" s="13" t="s">
        <v>38</v>
      </c>
      <c r="B3" s="11"/>
      <c r="C3" s="11"/>
      <c r="D3" s="13" t="s">
        <v>39</v>
      </c>
      <c r="E3" s="11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75">
      <c r="A4" s="11" t="s">
        <v>40</v>
      </c>
      <c r="B4" s="11" t="s">
        <v>41</v>
      </c>
      <c r="C4" s="11"/>
      <c r="D4" s="13" t="s">
        <v>42</v>
      </c>
      <c r="E4" s="13" t="s">
        <v>43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.75">
      <c r="A5" s="13" t="s">
        <v>2</v>
      </c>
      <c r="B5" s="11" t="s">
        <v>1</v>
      </c>
      <c r="C5" s="11"/>
      <c r="D5" s="11" t="s">
        <v>44</v>
      </c>
      <c r="E5" s="11" t="s">
        <v>45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.75">
      <c r="A6" s="13" t="s">
        <v>46</v>
      </c>
      <c r="B6" s="11" t="s">
        <v>47</v>
      </c>
      <c r="C6" s="11"/>
      <c r="D6" s="11" t="s">
        <v>48</v>
      </c>
      <c r="E6" s="11" t="s">
        <v>49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5.75">
      <c r="A7" s="13" t="s">
        <v>50</v>
      </c>
      <c r="B7" s="11" t="s">
        <v>51</v>
      </c>
      <c r="C7" s="11"/>
      <c r="D7" s="11" t="s">
        <v>52</v>
      </c>
      <c r="E7" s="11" t="s">
        <v>53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.75">
      <c r="A8" s="13" t="s">
        <v>54</v>
      </c>
      <c r="B8" s="11" t="s">
        <v>55</v>
      </c>
      <c r="C8" s="11"/>
      <c r="D8" s="11"/>
      <c r="E8" s="1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.75">
      <c r="A9" s="13" t="s">
        <v>56</v>
      </c>
      <c r="B9" s="11" t="s">
        <v>19</v>
      </c>
      <c r="C9" s="11"/>
      <c r="D9" s="11"/>
      <c r="E9" s="11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5.75">
      <c r="A10" s="13" t="s">
        <v>57</v>
      </c>
      <c r="B10" s="11" t="s">
        <v>58</v>
      </c>
      <c r="C10" s="11"/>
      <c r="D10" s="11"/>
      <c r="E10" s="1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.75">
      <c r="A11" s="11"/>
      <c r="B11" s="11"/>
      <c r="C11" s="11"/>
      <c r="D11" s="11"/>
      <c r="E11" s="1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.75">
      <c r="A12" s="11"/>
      <c r="B12" s="11"/>
      <c r="C12" s="11"/>
      <c r="D12" s="11"/>
      <c r="E12" s="1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5.75">
      <c r="A13" s="11"/>
      <c r="B13" s="11"/>
      <c r="C13" s="11"/>
      <c r="D13" s="11"/>
      <c r="E13" s="11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5.75">
      <c r="A14" s="11" t="s">
        <v>59</v>
      </c>
      <c r="B14" s="11" t="s">
        <v>60</v>
      </c>
      <c r="C14" s="11"/>
      <c r="D14" s="11"/>
      <c r="E14" s="11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5.75">
      <c r="A15" s="11" t="s">
        <v>61</v>
      </c>
      <c r="B15" s="11" t="s">
        <v>62</v>
      </c>
      <c r="C15" s="11"/>
      <c r="D15" s="11"/>
      <c r="E15" s="11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5.75">
      <c r="A16" s="11" t="s">
        <v>63</v>
      </c>
      <c r="B16" s="11" t="s">
        <v>64</v>
      </c>
      <c r="C16" s="11"/>
      <c r="D16" s="11"/>
      <c r="E16" s="11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5.75">
      <c r="A17" s="11" t="s">
        <v>65</v>
      </c>
      <c r="B17" s="17">
        <v>0.13</v>
      </c>
      <c r="C17" s="11"/>
      <c r="D17" s="11"/>
      <c r="E17" s="11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15.75">
      <c r="A18" s="11" t="s">
        <v>7</v>
      </c>
      <c r="B18" s="11" t="s">
        <v>66</v>
      </c>
      <c r="C18" s="11"/>
      <c r="D18" s="11"/>
      <c r="E18" s="11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15.75">
      <c r="A19" s="11" t="s">
        <v>67</v>
      </c>
      <c r="B19" s="11" t="s">
        <v>68</v>
      </c>
      <c r="C19" s="11"/>
      <c r="D19" s="11"/>
      <c r="E19" s="11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15.75">
      <c r="A20" s="11" t="s">
        <v>69</v>
      </c>
      <c r="B20" s="11" t="s">
        <v>70</v>
      </c>
      <c r="C20" s="11"/>
      <c r="D20" s="11"/>
      <c r="E20" s="1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15.75">
      <c r="A21" s="11"/>
      <c r="B21" s="11"/>
      <c r="C21" s="11"/>
      <c r="D21" s="11"/>
      <c r="E21" s="11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15.75">
      <c r="A22" s="11"/>
      <c r="B22" s="11"/>
      <c r="C22" s="11"/>
      <c r="D22" s="11"/>
      <c r="E22" s="11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15.75">
      <c r="A23" s="11"/>
      <c r="B23" s="11"/>
      <c r="C23" s="11"/>
      <c r="D23" s="11"/>
      <c r="E23" s="11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15.75">
      <c r="A24" s="13" t="s">
        <v>71</v>
      </c>
      <c r="B24" s="13"/>
      <c r="C24" s="13"/>
      <c r="D24" s="13"/>
      <c r="E24" s="13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15.75">
      <c r="A25" s="13" t="s">
        <v>72</v>
      </c>
      <c r="B25" s="13"/>
      <c r="C25" s="13"/>
      <c r="D25" s="13"/>
      <c r="E25" s="13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15.75">
      <c r="A26" s="11"/>
      <c r="B26" s="11"/>
      <c r="C26" s="11"/>
      <c r="D26" s="11"/>
      <c r="E26" s="11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15.75">
      <c r="A27" s="11"/>
      <c r="B27" s="11"/>
      <c r="C27" s="11"/>
      <c r="D27" s="11"/>
      <c r="E27" s="11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15.75">
      <c r="A28" s="11"/>
      <c r="B28" s="11"/>
      <c r="C28" s="11"/>
      <c r="D28" s="11"/>
      <c r="E28" s="11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530D6-BD30-4870-9603-479E7ADFB0CD}">
  <dimension ref="A1:K51"/>
  <sheetViews>
    <sheetView topLeftCell="H15" workbookViewId="0">
      <selection activeCell="L14" sqref="L14"/>
    </sheetView>
  </sheetViews>
  <sheetFormatPr defaultRowHeight="12.75"/>
  <cols>
    <col min="1" max="1" width="28.140625" customWidth="1"/>
    <col min="2" max="2" width="18.140625" customWidth="1"/>
    <col min="3" max="3" width="18.28515625" customWidth="1"/>
    <col min="4" max="4" width="18" customWidth="1"/>
    <col min="8" max="8" width="49.5703125" customWidth="1"/>
    <col min="9" max="9" width="27.28515625" customWidth="1"/>
    <col min="10" max="10" width="47.140625" customWidth="1"/>
  </cols>
  <sheetData>
    <row r="1" spans="1:11" ht="15.75">
      <c r="A1" s="6"/>
      <c r="B1" s="6"/>
      <c r="C1" s="6"/>
      <c r="D1" s="6"/>
      <c r="E1" s="6"/>
      <c r="F1" s="6"/>
      <c r="H1" s="11"/>
      <c r="I1" s="11"/>
      <c r="J1" s="11"/>
      <c r="K1" s="11"/>
    </row>
    <row r="2" spans="1:11" ht="15.75">
      <c r="A2" s="6"/>
      <c r="B2" s="6"/>
      <c r="C2" s="6"/>
      <c r="D2" s="6"/>
      <c r="E2" s="6"/>
      <c r="F2" s="6"/>
      <c r="H2" s="11" t="s">
        <v>73</v>
      </c>
      <c r="I2" s="11"/>
      <c r="J2" s="11"/>
      <c r="K2" s="11"/>
    </row>
    <row r="3" spans="1:11" ht="15.75">
      <c r="A3" s="7" t="s">
        <v>74</v>
      </c>
      <c r="B3" s="6"/>
      <c r="C3" s="6"/>
      <c r="D3" s="6"/>
      <c r="E3" s="6"/>
      <c r="F3" s="6"/>
      <c r="H3" s="11"/>
      <c r="I3" s="11"/>
      <c r="J3" s="11"/>
      <c r="K3" s="11"/>
    </row>
    <row r="4" spans="1:11" ht="15.75">
      <c r="A4" s="6"/>
      <c r="B4" s="6"/>
      <c r="C4" s="6"/>
      <c r="D4" s="6"/>
      <c r="E4" s="6"/>
      <c r="F4" s="6"/>
      <c r="H4" s="11" t="s">
        <v>42</v>
      </c>
      <c r="I4" s="11" t="s">
        <v>75</v>
      </c>
      <c r="J4" s="11" t="s">
        <v>76</v>
      </c>
      <c r="K4" s="11"/>
    </row>
    <row r="5" spans="1:11" ht="15.75">
      <c r="A5" s="7" t="s">
        <v>73</v>
      </c>
      <c r="B5" s="6"/>
      <c r="C5" s="6"/>
      <c r="D5" s="6"/>
      <c r="E5" s="6"/>
      <c r="F5" s="6"/>
      <c r="H5" s="11" t="s">
        <v>77</v>
      </c>
      <c r="I5" s="18">
        <v>20</v>
      </c>
      <c r="J5" s="17">
        <v>0.67</v>
      </c>
      <c r="K5" s="11"/>
    </row>
    <row r="6" spans="1:11" ht="15.75">
      <c r="A6" s="6"/>
      <c r="B6" s="6"/>
      <c r="C6" s="6"/>
      <c r="D6" s="6"/>
      <c r="E6" s="6"/>
      <c r="F6" s="6"/>
      <c r="H6" s="11" t="s">
        <v>78</v>
      </c>
      <c r="I6" s="18">
        <v>6</v>
      </c>
      <c r="J6" s="17">
        <v>0.2</v>
      </c>
      <c r="K6" s="11"/>
    </row>
    <row r="7" spans="1:11" ht="15.75">
      <c r="A7" s="6" t="s">
        <v>42</v>
      </c>
      <c r="B7" s="6" t="s">
        <v>75</v>
      </c>
      <c r="C7" s="6" t="s">
        <v>76</v>
      </c>
      <c r="D7" s="6"/>
      <c r="E7" s="6"/>
      <c r="F7" s="6"/>
      <c r="H7" s="11" t="s">
        <v>52</v>
      </c>
      <c r="I7" s="18">
        <v>4</v>
      </c>
      <c r="J7" s="17">
        <v>0.13</v>
      </c>
      <c r="K7" s="11"/>
    </row>
    <row r="8" spans="1:11" ht="15.75">
      <c r="A8" s="6" t="s">
        <v>77</v>
      </c>
      <c r="B8" s="9">
        <v>20</v>
      </c>
      <c r="C8" s="8">
        <v>0.67</v>
      </c>
      <c r="D8" s="6"/>
      <c r="E8" s="6"/>
      <c r="F8" s="6"/>
      <c r="H8" s="11" t="s">
        <v>79</v>
      </c>
      <c r="I8" s="18">
        <v>30</v>
      </c>
      <c r="J8" s="17">
        <v>1</v>
      </c>
      <c r="K8" s="11"/>
    </row>
    <row r="9" spans="1:11" ht="15.75">
      <c r="A9" s="6" t="s">
        <v>78</v>
      </c>
      <c r="B9" s="9">
        <v>6</v>
      </c>
      <c r="C9" s="8">
        <v>0.2</v>
      </c>
      <c r="D9" s="6"/>
      <c r="E9" s="6"/>
      <c r="F9" s="6"/>
      <c r="H9" s="11"/>
      <c r="I9" s="11"/>
      <c r="J9" s="11"/>
      <c r="K9" s="11"/>
    </row>
    <row r="10" spans="1:11" ht="15.75">
      <c r="A10" s="6" t="s">
        <v>52</v>
      </c>
      <c r="B10" s="9">
        <v>4</v>
      </c>
      <c r="C10" s="8">
        <v>0.13</v>
      </c>
      <c r="D10" s="6"/>
      <c r="E10" s="6"/>
      <c r="F10" s="6"/>
      <c r="H10" s="11"/>
      <c r="I10" s="11"/>
      <c r="J10" s="11"/>
      <c r="K10" s="11"/>
    </row>
    <row r="11" spans="1:11" ht="15.75">
      <c r="A11" s="6" t="s">
        <v>79</v>
      </c>
      <c r="B11" s="9">
        <v>30</v>
      </c>
      <c r="C11" s="8">
        <v>1</v>
      </c>
      <c r="D11" s="6"/>
      <c r="E11" s="6"/>
      <c r="F11" s="6"/>
      <c r="H11" s="11" t="s">
        <v>80</v>
      </c>
      <c r="I11" s="11"/>
      <c r="J11" s="11"/>
      <c r="K11" s="11"/>
    </row>
    <row r="12" spans="1:11" ht="15.75">
      <c r="A12" s="6"/>
      <c r="B12" s="6"/>
      <c r="C12" s="6"/>
      <c r="D12" s="6"/>
      <c r="E12" s="6"/>
      <c r="F12" s="6"/>
      <c r="H12" s="11"/>
      <c r="I12" s="11"/>
      <c r="J12" s="11"/>
      <c r="K12" s="11"/>
    </row>
    <row r="13" spans="1:11" ht="15.75">
      <c r="A13" s="6" t="s">
        <v>81</v>
      </c>
      <c r="B13" s="6"/>
      <c r="C13" s="6"/>
      <c r="D13" s="6"/>
      <c r="E13" s="6"/>
      <c r="F13" s="6"/>
      <c r="H13" s="11" t="s">
        <v>42</v>
      </c>
      <c r="I13" s="11" t="s">
        <v>82</v>
      </c>
      <c r="J13" s="11" t="s">
        <v>83</v>
      </c>
      <c r="K13" s="11"/>
    </row>
    <row r="14" spans="1:11" ht="15.75">
      <c r="A14" s="6"/>
      <c r="B14" s="6"/>
      <c r="C14" s="6"/>
      <c r="D14" s="6"/>
      <c r="E14" s="6"/>
      <c r="F14" s="6"/>
      <c r="H14" s="11" t="s">
        <v>44</v>
      </c>
      <c r="I14" s="18">
        <v>5</v>
      </c>
      <c r="J14" s="17">
        <v>0.25</v>
      </c>
      <c r="K14" s="11"/>
    </row>
    <row r="15" spans="1:11" ht="15.75">
      <c r="A15" s="6" t="s">
        <v>42</v>
      </c>
      <c r="B15" s="6" t="s">
        <v>82</v>
      </c>
      <c r="C15" s="6" t="s">
        <v>83</v>
      </c>
      <c r="D15" s="6"/>
      <c r="E15" s="6"/>
      <c r="F15" s="6"/>
      <c r="H15" s="11" t="s">
        <v>48</v>
      </c>
      <c r="I15" s="11">
        <v>-1.8</v>
      </c>
      <c r="J15" s="11" t="s">
        <v>84</v>
      </c>
      <c r="K15" s="11"/>
    </row>
    <row r="16" spans="1:11" ht="15.75">
      <c r="A16" s="6" t="s">
        <v>44</v>
      </c>
      <c r="B16" s="9">
        <v>5</v>
      </c>
      <c r="C16" s="8">
        <v>0.25</v>
      </c>
      <c r="D16" s="6"/>
      <c r="E16" s="6"/>
      <c r="F16" s="6"/>
      <c r="H16" s="11" t="s">
        <v>52</v>
      </c>
      <c r="I16" s="11">
        <v>0.8</v>
      </c>
      <c r="J16" s="17">
        <v>0.2</v>
      </c>
      <c r="K16" s="11"/>
    </row>
    <row r="17" spans="1:11" ht="15.75">
      <c r="A17" s="6" t="s">
        <v>48</v>
      </c>
      <c r="B17" s="6">
        <v>-1.8</v>
      </c>
      <c r="C17" s="6" t="s">
        <v>84</v>
      </c>
      <c r="D17" s="6"/>
      <c r="E17" s="6"/>
      <c r="F17" s="6"/>
      <c r="H17" s="11" t="s">
        <v>85</v>
      </c>
      <c r="I17" s="11" t="s">
        <v>86</v>
      </c>
      <c r="J17" s="11" t="s">
        <v>87</v>
      </c>
      <c r="K17" s="11"/>
    </row>
    <row r="18" spans="1:11" ht="15.75">
      <c r="A18" s="6" t="s">
        <v>52</v>
      </c>
      <c r="B18" s="6">
        <v>0.8</v>
      </c>
      <c r="C18" s="6" t="s">
        <v>88</v>
      </c>
      <c r="D18" s="6"/>
      <c r="E18" s="6"/>
      <c r="F18" s="6"/>
      <c r="H18" s="11" t="s">
        <v>89</v>
      </c>
      <c r="I18" s="18">
        <v>4</v>
      </c>
      <c r="J18" s="17">
        <v>0.13</v>
      </c>
      <c r="K18" s="11"/>
    </row>
    <row r="19" spans="1:11" ht="15.75">
      <c r="A19" s="6" t="s">
        <v>85</v>
      </c>
      <c r="B19" s="6" t="s">
        <v>86</v>
      </c>
      <c r="C19" s="6" t="s">
        <v>87</v>
      </c>
      <c r="D19" s="6"/>
      <c r="E19" s="6"/>
      <c r="F19" s="6"/>
      <c r="H19" s="11"/>
      <c r="I19" s="11"/>
      <c r="J19" s="11"/>
      <c r="K19" s="11"/>
    </row>
    <row r="20" spans="1:11" ht="15.75">
      <c r="A20" s="6" t="s">
        <v>89</v>
      </c>
      <c r="B20" s="9">
        <v>4</v>
      </c>
      <c r="C20" s="8">
        <v>0.13</v>
      </c>
      <c r="D20" s="6"/>
      <c r="E20" s="6"/>
      <c r="F20" s="6"/>
      <c r="H20" s="11"/>
      <c r="I20" s="11"/>
      <c r="J20" s="11"/>
      <c r="K20" s="11"/>
    </row>
    <row r="21" spans="1:11" ht="15.75">
      <c r="A21" s="6"/>
      <c r="B21" s="6"/>
      <c r="C21" s="6"/>
      <c r="D21" s="6"/>
      <c r="E21" s="6"/>
      <c r="F21" s="6"/>
      <c r="H21" s="11" t="s">
        <v>90</v>
      </c>
      <c r="I21" s="11"/>
      <c r="J21" s="11"/>
      <c r="K21" s="11"/>
    </row>
    <row r="22" spans="1:11" ht="15.75">
      <c r="A22" s="7" t="s">
        <v>90</v>
      </c>
      <c r="B22" s="6"/>
      <c r="C22" s="6"/>
      <c r="D22" s="6"/>
      <c r="E22" s="6"/>
      <c r="F22" s="6"/>
      <c r="H22" s="11"/>
      <c r="I22" s="11"/>
      <c r="J22" s="11"/>
      <c r="K22" s="11"/>
    </row>
    <row r="23" spans="1:11" ht="15.75">
      <c r="A23" s="6"/>
      <c r="B23" s="6"/>
      <c r="C23" s="6"/>
      <c r="D23" s="6"/>
      <c r="E23" s="6"/>
      <c r="F23" s="6"/>
      <c r="H23" s="11" t="s">
        <v>91</v>
      </c>
      <c r="I23" s="11" t="s">
        <v>92</v>
      </c>
      <c r="J23" s="11"/>
      <c r="K23" s="11"/>
    </row>
    <row r="24" spans="1:11" ht="15.75">
      <c r="A24" s="7" t="s">
        <v>59</v>
      </c>
      <c r="B24" s="7" t="s">
        <v>93</v>
      </c>
      <c r="C24" s="7"/>
      <c r="D24" s="6"/>
      <c r="E24" s="6"/>
      <c r="F24" s="6"/>
      <c r="H24" s="11" t="s">
        <v>59</v>
      </c>
      <c r="I24" s="11" t="s">
        <v>93</v>
      </c>
      <c r="J24" s="11"/>
      <c r="K24" s="11"/>
    </row>
    <row r="25" spans="1:11" ht="15.75">
      <c r="A25" s="6" t="s">
        <v>94</v>
      </c>
      <c r="B25" s="7" t="s">
        <v>95</v>
      </c>
      <c r="C25" s="7"/>
      <c r="D25" s="6"/>
      <c r="E25" s="6"/>
      <c r="F25" s="6"/>
      <c r="H25" s="11" t="s">
        <v>94</v>
      </c>
      <c r="I25" s="11" t="s">
        <v>95</v>
      </c>
      <c r="J25" s="11"/>
      <c r="K25" s="11"/>
    </row>
    <row r="26" spans="1:11" ht="15.75">
      <c r="A26" s="6" t="s">
        <v>96</v>
      </c>
      <c r="B26" s="7" t="s">
        <v>97</v>
      </c>
      <c r="C26" s="7"/>
      <c r="D26" s="6"/>
      <c r="E26" s="6"/>
      <c r="F26" s="6"/>
      <c r="H26" s="11" t="s">
        <v>96</v>
      </c>
      <c r="I26" s="11" t="s">
        <v>97</v>
      </c>
      <c r="J26" s="11"/>
      <c r="K26" s="11"/>
    </row>
    <row r="27" spans="1:11" ht="15.75">
      <c r="A27" s="6" t="s">
        <v>61</v>
      </c>
      <c r="B27" s="7" t="s">
        <v>98</v>
      </c>
      <c r="C27" s="7"/>
      <c r="D27" s="6"/>
      <c r="E27" s="6"/>
      <c r="F27" s="6"/>
      <c r="H27" s="11" t="s">
        <v>61</v>
      </c>
      <c r="I27" s="11" t="s">
        <v>98</v>
      </c>
      <c r="J27" s="11"/>
      <c r="K27" s="11"/>
    </row>
    <row r="28" spans="1:11" ht="15.75">
      <c r="A28" s="6" t="s">
        <v>63</v>
      </c>
      <c r="B28" s="7" t="s">
        <v>99</v>
      </c>
      <c r="C28" s="6"/>
      <c r="D28" s="6"/>
      <c r="E28" s="6"/>
      <c r="F28" s="6"/>
      <c r="H28" s="11" t="s">
        <v>63</v>
      </c>
      <c r="I28" s="11" t="s">
        <v>99</v>
      </c>
      <c r="J28" s="11"/>
      <c r="K28" s="11"/>
    </row>
    <row r="29" spans="1:11" ht="15.75">
      <c r="A29" s="7"/>
      <c r="B29" s="7"/>
      <c r="C29" s="7"/>
      <c r="D29" s="6"/>
      <c r="E29" s="6"/>
      <c r="F29" s="6"/>
      <c r="H29" s="11"/>
      <c r="I29" s="11"/>
      <c r="J29" s="11"/>
      <c r="K29" s="11"/>
    </row>
    <row r="30" spans="1:11" ht="15.75">
      <c r="A30" s="6"/>
      <c r="B30" s="6"/>
      <c r="C30" s="6"/>
      <c r="D30" s="6"/>
      <c r="E30" s="6"/>
      <c r="F30" s="6"/>
      <c r="H30" s="13" t="s">
        <v>100</v>
      </c>
      <c r="I30" s="13" t="s">
        <v>101</v>
      </c>
      <c r="J30" s="11"/>
      <c r="K30" s="11"/>
    </row>
    <row r="31" spans="1:11" ht="15.75">
      <c r="A31" s="6"/>
      <c r="B31" s="6"/>
      <c r="C31" s="6"/>
      <c r="D31" s="6"/>
      <c r="E31" s="6"/>
      <c r="F31" s="6"/>
      <c r="H31" s="11" t="s">
        <v>102</v>
      </c>
      <c r="I31" s="13" t="s">
        <v>42</v>
      </c>
      <c r="J31" s="11" t="s">
        <v>103</v>
      </c>
      <c r="K31" s="11"/>
    </row>
    <row r="32" spans="1:11" ht="15.75">
      <c r="A32" s="6"/>
      <c r="B32" s="6"/>
      <c r="C32" s="6"/>
      <c r="D32" s="6"/>
      <c r="E32" s="6"/>
      <c r="F32" s="6"/>
      <c r="H32" s="11" t="s">
        <v>104</v>
      </c>
      <c r="I32" s="13" t="s">
        <v>44</v>
      </c>
      <c r="J32" s="11" t="s">
        <v>105</v>
      </c>
      <c r="K32" s="11"/>
    </row>
    <row r="33" spans="1:11" ht="15.75">
      <c r="A33" s="6"/>
      <c r="B33" s="6"/>
      <c r="C33" s="6"/>
      <c r="D33" s="6"/>
      <c r="E33" s="6"/>
      <c r="F33" s="6"/>
      <c r="H33" s="11" t="s">
        <v>106</v>
      </c>
      <c r="I33" s="13" t="s">
        <v>107</v>
      </c>
      <c r="J33" s="11" t="s">
        <v>108</v>
      </c>
      <c r="K33" s="11"/>
    </row>
    <row r="34" spans="1:11" ht="15.75">
      <c r="A34" s="6"/>
      <c r="B34" s="6"/>
      <c r="C34" s="6"/>
      <c r="D34" s="6"/>
      <c r="E34" s="6"/>
      <c r="F34" s="6"/>
      <c r="H34" s="11" t="s">
        <v>109</v>
      </c>
      <c r="I34" s="13" t="s">
        <v>110</v>
      </c>
      <c r="J34" s="11" t="s">
        <v>111</v>
      </c>
      <c r="K34" s="11"/>
    </row>
    <row r="35" spans="1:11" ht="15.75">
      <c r="A35" s="7" t="s">
        <v>112</v>
      </c>
      <c r="B35" s="7"/>
      <c r="C35" s="7"/>
      <c r="D35" s="7"/>
      <c r="E35" s="7"/>
      <c r="F35" s="7"/>
      <c r="H35" s="11"/>
      <c r="I35" s="11"/>
      <c r="J35" s="11"/>
      <c r="K35" s="11"/>
    </row>
    <row r="36" spans="1:11" ht="15.75">
      <c r="A36" s="7" t="s">
        <v>113</v>
      </c>
      <c r="B36" s="7"/>
      <c r="C36" s="7"/>
      <c r="D36" s="7"/>
      <c r="E36" s="7"/>
      <c r="F36" s="7"/>
      <c r="H36" s="11"/>
      <c r="I36" s="11"/>
      <c r="J36" s="11"/>
      <c r="K36" s="11"/>
    </row>
    <row r="37" spans="1:11">
      <c r="A37" s="6"/>
      <c r="B37" s="6"/>
      <c r="C37" s="6"/>
      <c r="D37" s="6"/>
      <c r="E37" s="6"/>
      <c r="F37" s="6"/>
    </row>
    <row r="38" spans="1:11">
      <c r="A38" s="6"/>
      <c r="B38" s="6"/>
      <c r="C38" s="6"/>
      <c r="D38" s="6"/>
      <c r="E38" s="6"/>
      <c r="F38" s="6"/>
    </row>
    <row r="39" spans="1:11">
      <c r="A39" s="6"/>
      <c r="B39" s="6"/>
      <c r="C39" s="6"/>
      <c r="D39" s="6"/>
      <c r="E39" s="6"/>
      <c r="F39" s="6"/>
    </row>
    <row r="40" spans="1:11">
      <c r="A40" s="6"/>
      <c r="B40" s="6"/>
      <c r="C40" s="6"/>
      <c r="D40" s="6"/>
      <c r="E40" s="6"/>
      <c r="F40" s="6"/>
    </row>
    <row r="41" spans="1:11">
      <c r="A41" s="6"/>
      <c r="B41" s="6"/>
      <c r="C41" s="6"/>
      <c r="D41" s="6"/>
      <c r="E41" s="6"/>
      <c r="F41" s="6"/>
    </row>
    <row r="42" spans="1:11">
      <c r="A42" s="6"/>
      <c r="B42" s="6"/>
      <c r="C42" s="6"/>
      <c r="D42" s="6"/>
      <c r="E42" s="6"/>
      <c r="F42" s="6"/>
    </row>
    <row r="43" spans="1:11">
      <c r="A43" s="6"/>
      <c r="B43" s="6"/>
      <c r="C43" s="6"/>
      <c r="D43" s="6"/>
      <c r="E43" s="6"/>
      <c r="F43" s="6"/>
    </row>
    <row r="44" spans="1:11">
      <c r="A44" s="6"/>
      <c r="B44" s="6"/>
      <c r="C44" s="6"/>
      <c r="D44" s="6"/>
      <c r="E44" s="6"/>
      <c r="F44" s="6"/>
    </row>
    <row r="45" spans="1:11">
      <c r="A45" s="6"/>
      <c r="B45" s="6"/>
      <c r="C45" s="6"/>
      <c r="D45" s="6"/>
      <c r="E45" s="6"/>
      <c r="F45" s="6"/>
    </row>
    <row r="46" spans="1:11">
      <c r="A46" s="6"/>
      <c r="B46" s="6"/>
      <c r="C46" s="6"/>
      <c r="D46" s="6"/>
      <c r="E46" s="6"/>
      <c r="F46" s="6"/>
    </row>
    <row r="47" spans="1:11">
      <c r="A47" s="6"/>
      <c r="B47" s="6"/>
      <c r="C47" s="6"/>
      <c r="D47" s="6"/>
      <c r="E47" s="6"/>
      <c r="F47" s="6"/>
    </row>
    <row r="48" spans="1:11">
      <c r="A48" s="6"/>
      <c r="B48" s="6"/>
      <c r="C48" s="6"/>
      <c r="D48" s="6"/>
      <c r="E48" s="6"/>
      <c r="F48" s="6"/>
    </row>
    <row r="49" spans="1:6">
      <c r="A49" s="6"/>
      <c r="B49" s="6"/>
      <c r="C49" s="6"/>
      <c r="D49" s="6"/>
      <c r="E49" s="6"/>
      <c r="F49" s="6"/>
    </row>
    <row r="50" spans="1:6">
      <c r="A50" s="6"/>
      <c r="B50" s="6"/>
      <c r="C50" s="6"/>
      <c r="D50" s="6"/>
      <c r="E50" s="6"/>
      <c r="F50" s="6"/>
    </row>
    <row r="51" spans="1:6">
      <c r="A51" s="6"/>
      <c r="B51" s="6"/>
      <c r="C51" s="6"/>
      <c r="D51" s="6"/>
      <c r="E51" s="6"/>
      <c r="F51" s="6"/>
    </row>
  </sheetData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8797-C0BF-4E13-9FDD-2AFBA8081415}">
  <dimension ref="A1:D35"/>
  <sheetViews>
    <sheetView topLeftCell="A15" workbookViewId="0">
      <selection activeCell="C3" sqref="C3"/>
    </sheetView>
  </sheetViews>
  <sheetFormatPr defaultRowHeight="12.75"/>
  <cols>
    <col min="1" max="1" width="47.5703125" customWidth="1"/>
    <col min="2" max="2" width="29.7109375" customWidth="1"/>
    <col min="3" max="3" width="27.7109375" customWidth="1"/>
    <col min="4" max="4" width="26.85546875" customWidth="1"/>
  </cols>
  <sheetData>
    <row r="1" spans="1:4" ht="15.75">
      <c r="A1" s="11"/>
      <c r="B1" s="11"/>
      <c r="C1" s="11"/>
      <c r="D1" s="11"/>
    </row>
    <row r="2" spans="1:4" ht="15.75">
      <c r="A2" s="13" t="s">
        <v>114</v>
      </c>
      <c r="B2" s="11"/>
      <c r="C2" s="11"/>
      <c r="D2" s="11"/>
    </row>
    <row r="3" spans="1:4" ht="15.75">
      <c r="A3" s="11"/>
      <c r="B3" s="11"/>
      <c r="C3" s="11"/>
      <c r="D3" s="11"/>
    </row>
    <row r="4" spans="1:4" ht="15.75">
      <c r="A4" s="11" t="s">
        <v>115</v>
      </c>
      <c r="B4" s="11" t="s">
        <v>116</v>
      </c>
      <c r="C4" s="11"/>
      <c r="D4" s="11"/>
    </row>
    <row r="5" spans="1:4" ht="15.75">
      <c r="A5" s="11" t="s">
        <v>117</v>
      </c>
      <c r="B5" s="11">
        <v>5</v>
      </c>
      <c r="C5" s="11"/>
      <c r="D5" s="11"/>
    </row>
    <row r="6" spans="1:4" ht="15.75">
      <c r="A6" s="11" t="s">
        <v>118</v>
      </c>
      <c r="B6" s="11">
        <v>0.8</v>
      </c>
      <c r="C6" s="11"/>
      <c r="D6" s="11"/>
    </row>
    <row r="7" spans="1:4" ht="15.75">
      <c r="A7" s="11" t="s">
        <v>119</v>
      </c>
      <c r="B7" s="11">
        <v>-1.8</v>
      </c>
      <c r="C7" s="11"/>
      <c r="D7" s="11"/>
    </row>
    <row r="8" spans="1:4" ht="15.75">
      <c r="A8" s="11" t="s">
        <v>85</v>
      </c>
      <c r="B8" s="11" t="s">
        <v>86</v>
      </c>
      <c r="C8" s="11"/>
      <c r="D8" s="11"/>
    </row>
    <row r="9" spans="1:4" ht="15.75">
      <c r="A9" s="11" t="s">
        <v>120</v>
      </c>
      <c r="B9" s="11">
        <v>4</v>
      </c>
      <c r="C9" s="11"/>
      <c r="D9" s="11"/>
    </row>
    <row r="10" spans="1:4" ht="15.75">
      <c r="A10" s="13"/>
      <c r="B10" s="11"/>
      <c r="C10" s="11"/>
      <c r="D10" s="11"/>
    </row>
    <row r="11" spans="1:4" ht="15.75">
      <c r="A11" s="13" t="s">
        <v>121</v>
      </c>
      <c r="B11" s="11"/>
      <c r="C11" s="11"/>
      <c r="D11" s="11"/>
    </row>
    <row r="12" spans="1:4" ht="15.75">
      <c r="A12" s="13"/>
      <c r="B12" s="11"/>
      <c r="C12" s="11"/>
      <c r="D12" s="11"/>
    </row>
    <row r="13" spans="1:4" ht="15.75">
      <c r="A13" s="13" t="s">
        <v>122</v>
      </c>
      <c r="B13" s="11"/>
      <c r="C13" s="11"/>
      <c r="D13" s="11"/>
    </row>
    <row r="14" spans="1:4" ht="15.75">
      <c r="A14" s="13" t="s">
        <v>40</v>
      </c>
      <c r="B14" s="11" t="s">
        <v>123</v>
      </c>
      <c r="C14" s="11"/>
      <c r="D14" s="11"/>
    </row>
    <row r="15" spans="1:4" ht="15.75">
      <c r="A15" s="11" t="s">
        <v>124</v>
      </c>
      <c r="B15" s="11" t="s">
        <v>125</v>
      </c>
      <c r="C15" s="11"/>
      <c r="D15" s="11"/>
    </row>
    <row r="16" spans="1:4" ht="15.75">
      <c r="A16" s="11" t="s">
        <v>126</v>
      </c>
      <c r="B16" s="11" t="s">
        <v>127</v>
      </c>
      <c r="C16" s="11"/>
      <c r="D16" s="11"/>
    </row>
    <row r="17" spans="1:4" ht="15.75">
      <c r="A17" s="11" t="s">
        <v>128</v>
      </c>
      <c r="B17" s="11" t="s">
        <v>129</v>
      </c>
      <c r="C17" s="11"/>
      <c r="D17" s="11"/>
    </row>
    <row r="18" spans="1:4" ht="15.75">
      <c r="A18" s="11" t="s">
        <v>130</v>
      </c>
      <c r="B18" s="11" t="s">
        <v>131</v>
      </c>
      <c r="C18" s="11"/>
      <c r="D18" s="11"/>
    </row>
    <row r="19" spans="1:4" ht="15.75">
      <c r="A19" s="13"/>
      <c r="B19" s="11"/>
      <c r="C19" s="11"/>
      <c r="D19" s="11"/>
    </row>
    <row r="20" spans="1:4" ht="15.75">
      <c r="A20" s="13" t="s">
        <v>132</v>
      </c>
      <c r="B20" s="11"/>
      <c r="C20" s="11"/>
      <c r="D20" s="11"/>
    </row>
    <row r="21" spans="1:4" ht="15.75">
      <c r="A21" s="11"/>
      <c r="B21" s="11"/>
      <c r="C21" s="11"/>
      <c r="D21" s="11"/>
    </row>
    <row r="22" spans="1:4" ht="15.75">
      <c r="A22" s="11" t="s">
        <v>133</v>
      </c>
      <c r="B22" s="11" t="s">
        <v>134</v>
      </c>
      <c r="C22" s="11" t="s">
        <v>75</v>
      </c>
      <c r="D22" s="11" t="s">
        <v>82</v>
      </c>
    </row>
    <row r="23" spans="1:4" ht="15.75">
      <c r="A23" s="11" t="s">
        <v>135</v>
      </c>
      <c r="B23" s="11">
        <v>75</v>
      </c>
      <c r="C23" s="11">
        <v>6</v>
      </c>
      <c r="D23" s="11">
        <v>-1.8</v>
      </c>
    </row>
    <row r="24" spans="1:4" ht="15.75">
      <c r="A24" s="11" t="s">
        <v>136</v>
      </c>
      <c r="B24" s="11">
        <v>80</v>
      </c>
      <c r="C24" s="11">
        <v>6.6</v>
      </c>
      <c r="D24" s="11">
        <v>-1.2</v>
      </c>
    </row>
    <row r="25" spans="1:4" ht="15.75">
      <c r="A25" s="11" t="s">
        <v>137</v>
      </c>
      <c r="B25" s="11">
        <v>85</v>
      </c>
      <c r="C25" s="11">
        <v>7.2</v>
      </c>
      <c r="D25" s="11">
        <v>-0.5</v>
      </c>
    </row>
    <row r="26" spans="1:4" ht="15.75">
      <c r="A26" s="11" t="s">
        <v>138</v>
      </c>
      <c r="B26" s="11">
        <v>90</v>
      </c>
      <c r="C26" s="11">
        <v>7.8</v>
      </c>
      <c r="D26" s="11">
        <v>0</v>
      </c>
    </row>
    <row r="27" spans="1:4" ht="15.75">
      <c r="A27" s="11"/>
      <c r="B27" s="11"/>
      <c r="C27" s="11"/>
      <c r="D27" s="11"/>
    </row>
    <row r="28" spans="1:4" ht="15.75">
      <c r="A28" s="13" t="s">
        <v>139</v>
      </c>
      <c r="B28" s="11" t="s">
        <v>140</v>
      </c>
      <c r="C28" s="11" t="s">
        <v>141</v>
      </c>
      <c r="D28" s="11"/>
    </row>
    <row r="29" spans="1:4" ht="15.75">
      <c r="A29" s="11"/>
      <c r="B29" s="11" t="s">
        <v>142</v>
      </c>
      <c r="C29" s="11" t="s">
        <v>143</v>
      </c>
      <c r="D29" s="11"/>
    </row>
    <row r="30" spans="1:4" ht="15.75">
      <c r="A30" s="13" t="s">
        <v>144</v>
      </c>
      <c r="B30" s="11" t="s">
        <v>145</v>
      </c>
      <c r="C30" s="11" t="s">
        <v>146</v>
      </c>
      <c r="D30" s="11"/>
    </row>
    <row r="31" spans="1:4" ht="15.75">
      <c r="A31" s="13" t="s">
        <v>147</v>
      </c>
      <c r="B31" s="11" t="s">
        <v>148</v>
      </c>
      <c r="C31" s="11" t="s">
        <v>146</v>
      </c>
      <c r="D31" s="11"/>
    </row>
    <row r="32" spans="1:4" ht="15.75">
      <c r="A32" s="13" t="s">
        <v>149</v>
      </c>
      <c r="B32" s="11" t="s">
        <v>150</v>
      </c>
      <c r="C32" s="11" t="s">
        <v>151</v>
      </c>
      <c r="D32" s="11"/>
    </row>
    <row r="33" spans="1:4" ht="15.75">
      <c r="A33" s="13" t="s">
        <v>152</v>
      </c>
      <c r="B33" s="11"/>
      <c r="C33" s="11"/>
      <c r="D33" s="11"/>
    </row>
    <row r="34" spans="1:4" ht="15.75">
      <c r="A34" s="11"/>
      <c r="B34" s="11"/>
      <c r="C34" s="11"/>
      <c r="D34" s="11"/>
    </row>
    <row r="35" spans="1:4" ht="15">
      <c r="A35" s="12"/>
      <c r="B35" s="12"/>
      <c r="C35" s="12"/>
      <c r="D35" s="12"/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37FC-5A4B-4C09-A8DF-AA055EB7CC03}">
  <dimension ref="A1:I42"/>
  <sheetViews>
    <sheetView topLeftCell="A12" workbookViewId="0">
      <selection activeCell="D44" sqref="D44"/>
    </sheetView>
  </sheetViews>
  <sheetFormatPr defaultRowHeight="12.75"/>
  <cols>
    <col min="1" max="1" width="31.7109375" customWidth="1"/>
    <col min="2" max="2" width="27.7109375" customWidth="1"/>
    <col min="4" max="4" width="27.42578125" customWidth="1"/>
    <col min="5" max="6" width="27.7109375" customWidth="1"/>
  </cols>
  <sheetData>
    <row r="1" spans="1:9">
      <c r="A1" s="6"/>
      <c r="B1" s="6"/>
      <c r="C1" s="6"/>
      <c r="D1" s="6"/>
      <c r="E1" s="6"/>
      <c r="F1" s="6"/>
    </row>
    <row r="2" spans="1:9">
      <c r="A2" s="7" t="s">
        <v>153</v>
      </c>
      <c r="B2" s="6"/>
      <c r="C2" s="6"/>
      <c r="D2" s="7" t="s">
        <v>154</v>
      </c>
      <c r="E2" s="6"/>
      <c r="F2" s="6"/>
    </row>
    <row r="3" spans="1:9">
      <c r="A3" s="6"/>
      <c r="B3" s="6"/>
      <c r="C3" s="6"/>
      <c r="D3" s="6"/>
      <c r="E3" s="6"/>
      <c r="F3" s="6"/>
    </row>
    <row r="4" spans="1:9">
      <c r="A4" s="6" t="s">
        <v>155</v>
      </c>
      <c r="B4" s="6" t="s">
        <v>93</v>
      </c>
      <c r="C4" s="6"/>
      <c r="D4" s="6" t="s">
        <v>156</v>
      </c>
      <c r="E4" s="6" t="s">
        <v>93</v>
      </c>
      <c r="F4" s="6"/>
    </row>
    <row r="5" spans="1:9">
      <c r="A5" s="6" t="s">
        <v>157</v>
      </c>
      <c r="B5" s="10">
        <v>2.5000000000000001E-2</v>
      </c>
      <c r="C5" s="6"/>
      <c r="D5" s="6" t="s">
        <v>158</v>
      </c>
      <c r="E5" s="10">
        <v>4.2500000000000003E-2</v>
      </c>
      <c r="F5" s="6"/>
    </row>
    <row r="6" spans="1:9">
      <c r="A6" s="6" t="s">
        <v>159</v>
      </c>
      <c r="B6" s="6" t="s">
        <v>160</v>
      </c>
      <c r="C6" s="6"/>
      <c r="D6" s="6" t="s">
        <v>161</v>
      </c>
      <c r="E6" s="10">
        <v>5.7500000000000002E-2</v>
      </c>
      <c r="F6" s="6"/>
    </row>
    <row r="7" spans="1:9">
      <c r="A7" s="6" t="s">
        <v>107</v>
      </c>
      <c r="B7" s="6" t="s">
        <v>162</v>
      </c>
      <c r="C7" s="6"/>
      <c r="D7" s="6" t="s">
        <v>163</v>
      </c>
      <c r="E7" s="6">
        <v>1.35</v>
      </c>
      <c r="F7" s="6"/>
    </row>
    <row r="8" spans="1:9">
      <c r="A8" s="6" t="s">
        <v>164</v>
      </c>
      <c r="B8" s="8">
        <v>0.04</v>
      </c>
      <c r="C8" s="6"/>
      <c r="D8" s="6" t="s">
        <v>165</v>
      </c>
      <c r="E8" s="10">
        <v>0.12</v>
      </c>
      <c r="F8" s="6"/>
    </row>
    <row r="9" spans="1:9">
      <c r="A9" s="6" t="s">
        <v>166</v>
      </c>
      <c r="B9" s="8">
        <v>0.25</v>
      </c>
      <c r="C9" s="6"/>
      <c r="D9" s="6" t="s">
        <v>167</v>
      </c>
      <c r="E9" s="10">
        <v>5.5E-2</v>
      </c>
      <c r="F9" s="6"/>
    </row>
    <row r="10" spans="1:9">
      <c r="A10" s="6"/>
      <c r="B10" s="6"/>
      <c r="C10" s="6"/>
      <c r="D10" s="6" t="s">
        <v>168</v>
      </c>
      <c r="E10" s="6" t="s">
        <v>169</v>
      </c>
      <c r="F10" s="6"/>
    </row>
    <row r="11" spans="1:9">
      <c r="A11" s="6"/>
      <c r="B11" s="6"/>
      <c r="C11" s="6"/>
      <c r="D11" s="6" t="s">
        <v>170</v>
      </c>
      <c r="E11" s="6" t="s">
        <v>171</v>
      </c>
      <c r="F11" s="6"/>
    </row>
    <row r="12" spans="1:9" ht="15.75">
      <c r="A12" s="11"/>
      <c r="B12" s="11"/>
      <c r="C12" s="11"/>
      <c r="D12" s="11"/>
      <c r="E12" s="11"/>
      <c r="F12" s="11"/>
      <c r="G12" s="12"/>
      <c r="H12" s="12"/>
      <c r="I12" s="12"/>
    </row>
    <row r="13" spans="1:9" ht="15.75">
      <c r="A13" s="11"/>
      <c r="B13" s="11"/>
      <c r="C13" s="11"/>
      <c r="D13" s="11"/>
      <c r="E13" s="11"/>
      <c r="F13" s="11"/>
      <c r="G13" s="12"/>
      <c r="H13" s="12"/>
      <c r="I13" s="12"/>
    </row>
    <row r="14" spans="1:9" ht="15.75">
      <c r="A14" s="13" t="s">
        <v>172</v>
      </c>
      <c r="B14" s="11"/>
      <c r="C14" s="11"/>
      <c r="D14" s="11"/>
      <c r="E14" s="11"/>
      <c r="F14" s="11"/>
      <c r="G14" s="12"/>
      <c r="H14" s="12"/>
      <c r="I14" s="12"/>
    </row>
    <row r="15" spans="1:9" ht="15.75">
      <c r="A15" s="11"/>
      <c r="B15" s="11"/>
      <c r="C15" s="11"/>
      <c r="D15" s="11"/>
      <c r="E15" s="11"/>
      <c r="F15" s="11"/>
      <c r="G15" s="12"/>
      <c r="H15" s="12"/>
      <c r="I15" s="12"/>
    </row>
    <row r="16" spans="1:9" ht="15.75">
      <c r="A16" s="11" t="s">
        <v>115</v>
      </c>
      <c r="B16" s="11" t="s">
        <v>173</v>
      </c>
      <c r="C16" s="11" t="s">
        <v>174</v>
      </c>
      <c r="D16" s="11" t="s">
        <v>175</v>
      </c>
      <c r="E16" s="11" t="s">
        <v>176</v>
      </c>
      <c r="F16" s="11" t="s">
        <v>177</v>
      </c>
      <c r="G16" s="12"/>
      <c r="H16" s="12"/>
      <c r="I16" s="12"/>
    </row>
    <row r="17" spans="1:9" ht="15.75">
      <c r="A17" s="11" t="s">
        <v>61</v>
      </c>
      <c r="B17" s="11">
        <v>30.8</v>
      </c>
      <c r="C17" s="11">
        <v>31.6</v>
      </c>
      <c r="D17" s="11">
        <v>32.4</v>
      </c>
      <c r="E17" s="11">
        <v>33.200000000000003</v>
      </c>
      <c r="F17" s="11">
        <v>34</v>
      </c>
      <c r="G17" s="12"/>
      <c r="H17" s="12"/>
      <c r="I17" s="12"/>
    </row>
    <row r="18" spans="1:9" ht="15.75">
      <c r="A18" s="11" t="s">
        <v>63</v>
      </c>
      <c r="B18" s="11">
        <v>4.2</v>
      </c>
      <c r="C18" s="11">
        <v>4.5</v>
      </c>
      <c r="D18" s="11">
        <v>4.9000000000000004</v>
      </c>
      <c r="E18" s="11">
        <v>5.3</v>
      </c>
      <c r="F18" s="11">
        <v>5.6</v>
      </c>
      <c r="G18" s="12"/>
      <c r="H18" s="12"/>
      <c r="I18" s="12"/>
    </row>
    <row r="19" spans="1:9" ht="15.75">
      <c r="A19" s="11" t="s">
        <v>178</v>
      </c>
      <c r="B19" s="11">
        <v>2.2000000000000002</v>
      </c>
      <c r="C19" s="11">
        <v>2.5</v>
      </c>
      <c r="D19" s="11">
        <v>2.9</v>
      </c>
      <c r="E19" s="11">
        <v>3.2</v>
      </c>
      <c r="F19" s="11">
        <v>3.5</v>
      </c>
      <c r="G19" s="12"/>
      <c r="H19" s="12"/>
      <c r="I19" s="12"/>
    </row>
    <row r="20" spans="1:9" ht="15.75">
      <c r="A20" s="11"/>
      <c r="B20" s="11"/>
      <c r="C20" s="11"/>
      <c r="D20" s="11"/>
      <c r="E20" s="11"/>
      <c r="F20" s="11"/>
      <c r="G20" s="12"/>
      <c r="H20" s="12"/>
      <c r="I20" s="12"/>
    </row>
    <row r="21" spans="1:9" ht="15.75">
      <c r="A21" s="11"/>
      <c r="B21" s="11"/>
      <c r="C21" s="11"/>
      <c r="D21" s="11"/>
      <c r="E21" s="11"/>
      <c r="F21" s="11"/>
      <c r="G21" s="12"/>
      <c r="H21" s="12"/>
      <c r="I21" s="12"/>
    </row>
    <row r="22" spans="1:9" ht="15.75">
      <c r="A22" s="13" t="s">
        <v>179</v>
      </c>
      <c r="B22" s="11"/>
      <c r="C22" s="11"/>
      <c r="D22" s="13" t="s">
        <v>180</v>
      </c>
      <c r="E22" s="11"/>
      <c r="F22" s="11"/>
      <c r="G22" s="12"/>
      <c r="H22" s="12"/>
      <c r="I22" s="12"/>
    </row>
    <row r="23" spans="1:9" ht="15.75">
      <c r="A23" s="13"/>
      <c r="B23" s="11"/>
      <c r="C23" s="11"/>
      <c r="D23" s="11"/>
      <c r="E23" s="11"/>
      <c r="F23" s="11"/>
      <c r="G23" s="12"/>
      <c r="H23" s="12"/>
      <c r="I23" s="12"/>
    </row>
    <row r="24" spans="1:9" ht="15.75">
      <c r="A24" s="11" t="s">
        <v>156</v>
      </c>
      <c r="B24" s="11" t="s">
        <v>93</v>
      </c>
      <c r="C24" s="11"/>
      <c r="D24" s="11" t="s">
        <v>59</v>
      </c>
      <c r="E24" s="11" t="s">
        <v>93</v>
      </c>
      <c r="F24" s="11"/>
      <c r="G24" s="12"/>
      <c r="H24" s="12"/>
      <c r="I24" s="12"/>
    </row>
    <row r="25" spans="1:9" ht="15.75">
      <c r="A25" s="11" t="s">
        <v>181</v>
      </c>
      <c r="B25" s="19">
        <v>1.4999999999999999E-2</v>
      </c>
      <c r="C25" s="11"/>
      <c r="D25" s="11" t="s">
        <v>182</v>
      </c>
      <c r="E25" s="11" t="s">
        <v>183</v>
      </c>
      <c r="F25" s="11"/>
      <c r="G25" s="12"/>
      <c r="H25" s="12"/>
      <c r="I25" s="12"/>
    </row>
    <row r="26" spans="1:9" ht="15.75">
      <c r="A26" s="11" t="s">
        <v>184</v>
      </c>
      <c r="B26" s="11">
        <v>3.6</v>
      </c>
      <c r="C26" s="11"/>
      <c r="D26" s="11" t="s">
        <v>185</v>
      </c>
      <c r="E26" s="11" t="s">
        <v>186</v>
      </c>
      <c r="F26" s="11"/>
      <c r="G26" s="12"/>
      <c r="H26" s="12"/>
      <c r="I26" s="12"/>
    </row>
    <row r="27" spans="1:9" ht="15.75">
      <c r="A27" s="11" t="s">
        <v>170</v>
      </c>
      <c r="B27" s="19">
        <v>0.09</v>
      </c>
      <c r="C27" s="11"/>
      <c r="D27" s="11" t="s">
        <v>69</v>
      </c>
      <c r="E27" s="11" t="s">
        <v>187</v>
      </c>
      <c r="F27" s="11"/>
      <c r="G27" s="12"/>
      <c r="H27" s="12"/>
      <c r="I27" s="12"/>
    </row>
    <row r="28" spans="1:9" ht="15.75">
      <c r="A28" s="11" t="s">
        <v>188</v>
      </c>
      <c r="B28" s="11" t="s">
        <v>189</v>
      </c>
      <c r="C28" s="11"/>
      <c r="D28" s="11" t="s">
        <v>190</v>
      </c>
      <c r="E28" s="11" t="s">
        <v>66</v>
      </c>
      <c r="F28" s="11"/>
      <c r="G28" s="12"/>
      <c r="H28" s="12"/>
      <c r="I28" s="12"/>
    </row>
    <row r="29" spans="1:9" ht="15.75">
      <c r="A29" s="11"/>
      <c r="B29" s="11"/>
      <c r="C29" s="11"/>
      <c r="D29" s="11" t="s">
        <v>35</v>
      </c>
      <c r="E29" s="11" t="s">
        <v>191</v>
      </c>
      <c r="F29" s="11"/>
      <c r="G29" s="12"/>
      <c r="H29" s="12"/>
      <c r="I29" s="12"/>
    </row>
    <row r="30" spans="1:9" ht="15.75">
      <c r="A30" s="11"/>
      <c r="B30" s="11"/>
      <c r="C30" s="11"/>
      <c r="D30" s="11" t="s">
        <v>192</v>
      </c>
      <c r="E30" s="11" t="s">
        <v>193</v>
      </c>
      <c r="F30" s="11"/>
      <c r="G30" s="12"/>
      <c r="H30" s="12"/>
      <c r="I30" s="12"/>
    </row>
    <row r="31" spans="1:9" ht="15.75">
      <c r="A31" s="11"/>
      <c r="B31" s="11"/>
      <c r="C31" s="11"/>
      <c r="D31" s="11" t="s">
        <v>194</v>
      </c>
      <c r="E31" s="15">
        <v>37</v>
      </c>
      <c r="F31" s="11"/>
      <c r="G31" s="12"/>
      <c r="H31" s="12"/>
      <c r="I31" s="12"/>
    </row>
    <row r="32" spans="1:9" ht="15.75">
      <c r="A32" s="11"/>
      <c r="B32" s="11"/>
      <c r="C32" s="11"/>
      <c r="D32" s="11"/>
      <c r="E32" s="11"/>
      <c r="F32" s="11"/>
      <c r="G32" s="12"/>
      <c r="H32" s="12"/>
      <c r="I32" s="12"/>
    </row>
    <row r="33" spans="1:9" ht="15.75">
      <c r="A33" s="11"/>
      <c r="B33" s="11"/>
      <c r="C33" s="11"/>
      <c r="D33" s="11"/>
      <c r="E33" s="11"/>
      <c r="F33" s="11"/>
      <c r="G33" s="12"/>
      <c r="H33" s="12"/>
      <c r="I33" s="12"/>
    </row>
    <row r="34" spans="1:9" ht="15.75">
      <c r="A34" s="11"/>
      <c r="B34" s="11"/>
      <c r="C34" s="11"/>
      <c r="D34" s="11"/>
      <c r="E34" s="11"/>
      <c r="F34" s="11"/>
      <c r="G34" s="12"/>
      <c r="H34" s="12"/>
      <c r="I34" s="12"/>
    </row>
    <row r="35" spans="1:9" ht="15.75">
      <c r="A35" s="13" t="s">
        <v>195</v>
      </c>
      <c r="B35" s="11"/>
      <c r="C35" s="11"/>
      <c r="D35" s="11"/>
      <c r="E35" s="11"/>
      <c r="F35" s="11"/>
      <c r="G35" s="12"/>
      <c r="H35" s="12"/>
      <c r="I35" s="12"/>
    </row>
    <row r="36" spans="1:9" ht="15.75">
      <c r="A36" s="13" t="s">
        <v>196</v>
      </c>
      <c r="B36" s="11"/>
      <c r="C36" s="11"/>
      <c r="D36" s="11"/>
      <c r="E36" s="11"/>
      <c r="F36" s="11"/>
      <c r="G36" s="12"/>
      <c r="H36" s="12"/>
      <c r="I36" s="12"/>
    </row>
    <row r="37" spans="1:9" ht="15">
      <c r="A37" s="12"/>
      <c r="B37" s="12"/>
      <c r="C37" s="12"/>
      <c r="D37" s="12"/>
      <c r="E37" s="12"/>
      <c r="F37" s="12"/>
      <c r="G37" s="12"/>
      <c r="H37" s="12"/>
      <c r="I37" s="12"/>
    </row>
    <row r="38" spans="1:9" ht="15">
      <c r="A38" s="12"/>
      <c r="B38" s="12"/>
      <c r="C38" s="12"/>
      <c r="D38" s="12"/>
      <c r="E38" s="12"/>
      <c r="F38" s="12"/>
      <c r="G38" s="12"/>
      <c r="H38" s="12"/>
      <c r="I38" s="12"/>
    </row>
    <row r="39" spans="1:9" ht="15">
      <c r="A39" s="12"/>
      <c r="B39" s="12"/>
      <c r="C39" s="12"/>
      <c r="D39" s="12"/>
      <c r="E39" s="12"/>
      <c r="F39" s="12"/>
      <c r="G39" s="12"/>
      <c r="H39" s="12"/>
      <c r="I39" s="12"/>
    </row>
    <row r="40" spans="1:9" ht="15">
      <c r="A40" s="12"/>
      <c r="B40" s="12"/>
      <c r="C40" s="12"/>
      <c r="D40" s="12"/>
      <c r="E40" s="12"/>
      <c r="F40" s="12"/>
      <c r="G40" s="12"/>
      <c r="H40" s="12"/>
      <c r="I40" s="12"/>
    </row>
    <row r="41" spans="1:9" ht="15">
      <c r="A41" s="12"/>
      <c r="B41" s="12"/>
      <c r="C41" s="12"/>
      <c r="D41" s="12"/>
      <c r="E41" s="12"/>
      <c r="F41" s="12"/>
      <c r="G41" s="12"/>
      <c r="H41" s="12"/>
      <c r="I41" s="12"/>
    </row>
    <row r="42" spans="1:9" ht="15">
      <c r="A42" s="12"/>
      <c r="B42" s="12"/>
      <c r="C42" s="12"/>
      <c r="D42" s="12"/>
      <c r="E42" s="12"/>
      <c r="F42" s="12"/>
      <c r="G42" s="12"/>
      <c r="H42" s="12"/>
      <c r="I42" s="12"/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8599-B265-4096-AE2A-4878A51192F1}">
  <dimension ref="A2:D30"/>
  <sheetViews>
    <sheetView workbookViewId="0">
      <selection activeCell="C24" sqref="C24"/>
    </sheetView>
  </sheetViews>
  <sheetFormatPr defaultRowHeight="12.75"/>
  <cols>
    <col min="1" max="1" width="32.7109375" customWidth="1"/>
    <col min="2" max="2" width="29.28515625" customWidth="1"/>
    <col min="3" max="3" width="29.140625" customWidth="1"/>
    <col min="4" max="4" width="34.5703125" customWidth="1"/>
  </cols>
  <sheetData>
    <row r="2" spans="1:4" ht="15.75">
      <c r="A2" s="13" t="s">
        <v>197</v>
      </c>
      <c r="B2" s="12"/>
      <c r="C2" s="12"/>
      <c r="D2" s="12"/>
    </row>
    <row r="3" spans="1:4" ht="15">
      <c r="A3" s="12"/>
      <c r="B3" s="12"/>
      <c r="C3" s="12"/>
      <c r="D3" s="12"/>
    </row>
    <row r="4" spans="1:4" ht="15.75">
      <c r="A4" s="11" t="s">
        <v>42</v>
      </c>
      <c r="B4" s="11" t="s">
        <v>59</v>
      </c>
      <c r="C4" s="11" t="s">
        <v>198</v>
      </c>
      <c r="D4" s="11" t="s">
        <v>199</v>
      </c>
    </row>
    <row r="5" spans="1:4" ht="15.75">
      <c r="A5" s="11" t="s">
        <v>77</v>
      </c>
      <c r="B5" s="11" t="s">
        <v>200</v>
      </c>
      <c r="C5" s="11" t="s">
        <v>201</v>
      </c>
      <c r="D5" s="11">
        <v>30</v>
      </c>
    </row>
    <row r="6" spans="1:4" ht="15.75">
      <c r="A6" s="11" t="s">
        <v>52</v>
      </c>
      <c r="B6" s="11" t="s">
        <v>202</v>
      </c>
      <c r="C6" s="11" t="s">
        <v>203</v>
      </c>
      <c r="D6" s="11">
        <v>6.5</v>
      </c>
    </row>
    <row r="7" spans="1:4" ht="15.75">
      <c r="A7" s="11" t="s">
        <v>48</v>
      </c>
      <c r="B7" s="11" t="s">
        <v>204</v>
      </c>
      <c r="C7" s="11" t="s">
        <v>205</v>
      </c>
      <c r="D7" s="11">
        <v>12</v>
      </c>
    </row>
    <row r="8" spans="1:4" ht="15.75">
      <c r="A8" s="11" t="s">
        <v>206</v>
      </c>
      <c r="B8" s="11"/>
      <c r="C8" s="11"/>
      <c r="D8" s="11">
        <v>48.5</v>
      </c>
    </row>
    <row r="9" spans="1:4" ht="15.75">
      <c r="A9" s="11" t="s">
        <v>190</v>
      </c>
      <c r="B9" s="11"/>
      <c r="C9" s="11"/>
      <c r="D9" s="11">
        <v>-15</v>
      </c>
    </row>
    <row r="10" spans="1:4" ht="15.75">
      <c r="A10" s="11" t="s">
        <v>35</v>
      </c>
      <c r="B10" s="11"/>
      <c r="C10" s="11"/>
      <c r="D10" s="11">
        <v>33.5</v>
      </c>
    </row>
    <row r="12" spans="1:4" ht="15.75">
      <c r="A12" s="13" t="s">
        <v>207</v>
      </c>
      <c r="B12" s="11"/>
      <c r="C12" s="13" t="s">
        <v>194</v>
      </c>
      <c r="D12" s="11"/>
    </row>
    <row r="13" spans="1:4" ht="15.75">
      <c r="A13" s="13" t="s">
        <v>208</v>
      </c>
      <c r="B13" s="11"/>
      <c r="C13" s="11"/>
      <c r="D13" s="11"/>
    </row>
    <row r="14" spans="1:4" ht="15.75">
      <c r="A14" s="11" t="s">
        <v>209</v>
      </c>
      <c r="B14" s="11"/>
      <c r="C14" s="11" t="s">
        <v>40</v>
      </c>
      <c r="D14" s="11" t="s">
        <v>93</v>
      </c>
    </row>
    <row r="15" spans="1:4" ht="15.75">
      <c r="A15" s="11" t="s">
        <v>210</v>
      </c>
      <c r="B15" s="11"/>
      <c r="C15" s="11" t="s">
        <v>35</v>
      </c>
      <c r="D15" s="13" t="s">
        <v>211</v>
      </c>
    </row>
    <row r="16" spans="1:4" ht="15.75">
      <c r="A16" s="13" t="s">
        <v>212</v>
      </c>
      <c r="B16" s="11"/>
      <c r="C16" s="11" t="s">
        <v>192</v>
      </c>
      <c r="D16" s="13" t="s">
        <v>193</v>
      </c>
    </row>
    <row r="17" spans="1:4" ht="15.75">
      <c r="A17" s="11" t="s">
        <v>213</v>
      </c>
      <c r="B17" s="11"/>
      <c r="C17" s="11" t="s">
        <v>194</v>
      </c>
      <c r="D17" s="14">
        <v>52</v>
      </c>
    </row>
    <row r="18" spans="1:4" ht="15.75">
      <c r="A18" s="11" t="s">
        <v>214</v>
      </c>
      <c r="B18" s="11"/>
      <c r="C18" s="11"/>
      <c r="D18" s="11"/>
    </row>
    <row r="19" spans="1:4" ht="15.75">
      <c r="A19" s="13" t="s">
        <v>215</v>
      </c>
      <c r="B19" s="11"/>
    </row>
    <row r="20" spans="1:4" ht="15.75">
      <c r="A20" s="11" t="s">
        <v>216</v>
      </c>
      <c r="B20" s="11"/>
    </row>
    <row r="21" spans="1:4" ht="15.75">
      <c r="A21" s="11" t="s">
        <v>217</v>
      </c>
      <c r="B21" s="11"/>
    </row>
    <row r="23" spans="1:4" ht="15.75">
      <c r="A23" s="11"/>
      <c r="B23" s="11"/>
    </row>
    <row r="24" spans="1:4" ht="15.75">
      <c r="A24" s="13" t="s">
        <v>218</v>
      </c>
      <c r="B24" s="11"/>
    </row>
    <row r="25" spans="1:4" ht="15.75">
      <c r="A25" s="11"/>
      <c r="B25" s="11"/>
    </row>
    <row r="26" spans="1:4" ht="15.75">
      <c r="A26" s="11" t="s">
        <v>219</v>
      </c>
      <c r="B26" s="11" t="s">
        <v>220</v>
      </c>
    </row>
    <row r="27" spans="1:4" ht="15.75">
      <c r="A27" s="11" t="s">
        <v>221</v>
      </c>
      <c r="B27" s="15">
        <v>37</v>
      </c>
    </row>
    <row r="28" spans="1:4" ht="15.75">
      <c r="A28" s="11" t="s">
        <v>222</v>
      </c>
      <c r="B28" s="15">
        <v>52</v>
      </c>
    </row>
    <row r="29" spans="1:4" ht="15.75">
      <c r="A29" s="11" t="s">
        <v>223</v>
      </c>
      <c r="B29" s="11" t="s">
        <v>224</v>
      </c>
    </row>
    <row r="30" spans="1:4" ht="15.75">
      <c r="A30" s="11"/>
      <c r="B30" s="11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91EE-62BA-4385-84C6-F07464600125}">
  <dimension ref="A1:E24"/>
  <sheetViews>
    <sheetView workbookViewId="0">
      <selection activeCell="C12" sqref="C12"/>
    </sheetView>
  </sheetViews>
  <sheetFormatPr defaultRowHeight="12.75"/>
  <cols>
    <col min="1" max="1" width="32.140625" customWidth="1"/>
    <col min="2" max="2" width="20.28515625" customWidth="1"/>
    <col min="3" max="3" width="18" customWidth="1"/>
    <col min="4" max="4" width="18.140625" customWidth="1"/>
    <col min="5" max="5" width="18.42578125" customWidth="1"/>
    <col min="6" max="6" width="18.140625" customWidth="1"/>
  </cols>
  <sheetData>
    <row r="1" spans="1:5" ht="15.75">
      <c r="A1" s="11"/>
      <c r="B1" s="11"/>
      <c r="C1" s="11"/>
      <c r="D1" s="11"/>
      <c r="E1" s="11"/>
    </row>
    <row r="2" spans="1:5" ht="15.75">
      <c r="A2" s="13" t="s">
        <v>225</v>
      </c>
      <c r="B2" s="11"/>
      <c r="C2" s="11"/>
      <c r="D2" s="11"/>
      <c r="E2" s="11"/>
    </row>
    <row r="3" spans="1:5" ht="15.75">
      <c r="A3" s="11"/>
      <c r="B3" s="11"/>
      <c r="C3" s="11"/>
      <c r="D3" s="11"/>
      <c r="E3" s="11"/>
    </row>
    <row r="4" spans="1:5" ht="15.75">
      <c r="A4" s="16" t="s">
        <v>92</v>
      </c>
      <c r="B4" s="11" t="s">
        <v>226</v>
      </c>
      <c r="C4" s="11" t="s">
        <v>227</v>
      </c>
      <c r="D4" s="11"/>
      <c r="E4" s="11"/>
    </row>
    <row r="5" spans="1:5" ht="15.75">
      <c r="A5" s="11" t="s">
        <v>13</v>
      </c>
      <c r="B5" s="11" t="s">
        <v>228</v>
      </c>
      <c r="C5" s="11" t="s">
        <v>229</v>
      </c>
      <c r="D5" s="11"/>
      <c r="E5" s="11"/>
    </row>
    <row r="6" spans="1:5" ht="15.75">
      <c r="A6" s="11" t="s">
        <v>230</v>
      </c>
      <c r="B6" s="11" t="s">
        <v>231</v>
      </c>
      <c r="C6" s="11" t="s">
        <v>232</v>
      </c>
      <c r="D6" s="11"/>
      <c r="E6" s="11"/>
    </row>
    <row r="7" spans="1:5" ht="15.75">
      <c r="A7" s="11" t="s">
        <v>11</v>
      </c>
      <c r="B7" s="11" t="s">
        <v>233</v>
      </c>
      <c r="C7" s="11" t="s">
        <v>234</v>
      </c>
      <c r="D7" s="11"/>
      <c r="E7" s="11"/>
    </row>
    <row r="8" spans="1:5" ht="15.75">
      <c r="A8" s="11" t="s">
        <v>235</v>
      </c>
      <c r="B8" s="11" t="s">
        <v>236</v>
      </c>
      <c r="C8" s="11" t="s">
        <v>237</v>
      </c>
      <c r="D8" s="11"/>
      <c r="E8" s="11"/>
    </row>
    <row r="9" spans="1:5" ht="15.75">
      <c r="A9" s="11" t="s">
        <v>238</v>
      </c>
      <c r="B9" s="11" t="s">
        <v>228</v>
      </c>
      <c r="C9" s="11" t="s">
        <v>239</v>
      </c>
      <c r="D9" s="11"/>
      <c r="E9" s="11"/>
    </row>
    <row r="10" spans="1:5" ht="15.75">
      <c r="A10" s="11" t="s">
        <v>240</v>
      </c>
      <c r="B10" s="11" t="s">
        <v>241</v>
      </c>
      <c r="C10" s="11" t="s">
        <v>242</v>
      </c>
      <c r="D10" s="11"/>
      <c r="E10" s="11"/>
    </row>
    <row r="11" spans="1:5" ht="15.75">
      <c r="A11" s="11"/>
      <c r="B11" s="11"/>
      <c r="C11" s="11"/>
      <c r="D11" s="11"/>
      <c r="E11" s="11"/>
    </row>
    <row r="12" spans="1:5" ht="15.75">
      <c r="A12" s="11" t="s">
        <v>243</v>
      </c>
      <c r="B12" s="11"/>
      <c r="C12" s="11"/>
      <c r="D12" s="11"/>
      <c r="E12" s="11"/>
    </row>
    <row r="13" spans="1:5" ht="15.75">
      <c r="A13" s="11"/>
      <c r="B13" s="11"/>
      <c r="C13" s="11"/>
      <c r="D13" s="11"/>
      <c r="E13" s="11"/>
    </row>
    <row r="14" spans="1:5" ht="15.75">
      <c r="A14" s="11" t="s">
        <v>59</v>
      </c>
      <c r="B14" s="11" t="s">
        <v>93</v>
      </c>
      <c r="C14" s="11"/>
      <c r="D14" s="11"/>
      <c r="E14" s="11"/>
    </row>
    <row r="15" spans="1:5" ht="15.75">
      <c r="A15" s="11" t="s">
        <v>63</v>
      </c>
      <c r="B15" s="11" t="s">
        <v>64</v>
      </c>
      <c r="C15" s="11"/>
      <c r="D15" s="11"/>
      <c r="E15" s="11"/>
    </row>
    <row r="16" spans="1:5" ht="15.75">
      <c r="A16" s="11" t="s">
        <v>244</v>
      </c>
      <c r="B16" s="11" t="s">
        <v>228</v>
      </c>
      <c r="C16" s="11"/>
      <c r="D16" s="11"/>
      <c r="E16" s="11"/>
    </row>
    <row r="17" spans="1:5" ht="15.75">
      <c r="A17" s="11" t="s">
        <v>245</v>
      </c>
      <c r="B17" s="11" t="s">
        <v>186</v>
      </c>
      <c r="C17" s="11"/>
      <c r="D17" s="11"/>
      <c r="E17" s="11"/>
    </row>
    <row r="18" spans="1:5" ht="15.75">
      <c r="A18" s="11" t="s">
        <v>246</v>
      </c>
      <c r="B18" s="11" t="s">
        <v>70</v>
      </c>
      <c r="C18" s="11"/>
      <c r="D18" s="11"/>
      <c r="E18" s="11"/>
    </row>
    <row r="19" spans="1:5" ht="15.75">
      <c r="A19" s="11"/>
      <c r="B19" s="11"/>
      <c r="C19" s="11"/>
      <c r="D19" s="11"/>
      <c r="E19" s="11"/>
    </row>
    <row r="20" spans="1:5" ht="15.75">
      <c r="A20" s="11"/>
      <c r="B20" s="11"/>
      <c r="C20" s="11"/>
      <c r="D20" s="11"/>
      <c r="E20" s="11"/>
    </row>
    <row r="21" spans="1:5" ht="15.75">
      <c r="A21" s="13" t="s">
        <v>247</v>
      </c>
      <c r="B21" s="13"/>
      <c r="C21" s="11"/>
      <c r="D21" s="11"/>
      <c r="E21" s="11"/>
    </row>
    <row r="22" spans="1:5" ht="15.75">
      <c r="A22" s="13" t="s">
        <v>248</v>
      </c>
      <c r="B22" s="13"/>
      <c r="C22" s="11"/>
      <c r="D22" s="11"/>
      <c r="E22" s="11"/>
    </row>
    <row r="23" spans="1:5" ht="15.75">
      <c r="A23" s="11"/>
      <c r="B23" s="11"/>
      <c r="C23" s="11"/>
      <c r="D23" s="11"/>
      <c r="E23" s="11"/>
    </row>
    <row r="24" spans="1:5" ht="15.75">
      <c r="A24" s="11"/>
      <c r="B24" s="11"/>
      <c r="C24" s="11"/>
      <c r="D24" s="11"/>
      <c r="E24" s="11"/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751A-3075-4C3C-9FB1-5285DBD25729}">
  <dimension ref="A2:E25"/>
  <sheetViews>
    <sheetView workbookViewId="0">
      <selection activeCell="A2" sqref="A2"/>
    </sheetView>
  </sheetViews>
  <sheetFormatPr defaultRowHeight="12.75"/>
  <cols>
    <col min="1" max="1" width="36.28515625" customWidth="1"/>
    <col min="2" max="2" width="21.85546875" customWidth="1"/>
    <col min="3" max="3" width="21" customWidth="1"/>
    <col min="4" max="4" width="18.5703125" customWidth="1"/>
  </cols>
  <sheetData>
    <row r="2" spans="1:5" ht="15.75">
      <c r="A2" s="13" t="s">
        <v>249</v>
      </c>
      <c r="B2" s="11"/>
      <c r="C2" s="11"/>
      <c r="D2" s="11"/>
      <c r="E2" s="11"/>
    </row>
    <row r="3" spans="1:5" ht="15.75">
      <c r="A3" s="11" t="s">
        <v>219</v>
      </c>
      <c r="B3" s="11" t="s">
        <v>35</v>
      </c>
      <c r="C3" s="11" t="s">
        <v>194</v>
      </c>
      <c r="D3" s="11"/>
      <c r="E3" s="11"/>
    </row>
    <row r="4" spans="1:5" ht="15.75">
      <c r="A4" s="11" t="s">
        <v>221</v>
      </c>
      <c r="B4" s="11" t="s">
        <v>250</v>
      </c>
      <c r="C4" s="11" t="s">
        <v>251</v>
      </c>
      <c r="D4" s="11"/>
      <c r="E4" s="11"/>
    </row>
    <row r="5" spans="1:5" ht="15.75">
      <c r="A5" s="11" t="s">
        <v>252</v>
      </c>
      <c r="B5" s="11" t="s">
        <v>253</v>
      </c>
      <c r="C5" s="11" t="s">
        <v>254</v>
      </c>
      <c r="D5" s="11"/>
      <c r="E5" s="11"/>
    </row>
    <row r="6" spans="1:5" ht="15.75">
      <c r="A6" s="11" t="s">
        <v>255</v>
      </c>
      <c r="B6" s="11" t="s">
        <v>256</v>
      </c>
      <c r="C6" s="11" t="s">
        <v>257</v>
      </c>
      <c r="D6" s="11"/>
      <c r="E6" s="11"/>
    </row>
    <row r="7" spans="1:5" ht="15.75">
      <c r="A7" s="11" t="s">
        <v>258</v>
      </c>
      <c r="B7" s="11" t="s">
        <v>259</v>
      </c>
      <c r="C7" s="11" t="s">
        <v>224</v>
      </c>
      <c r="D7" s="11"/>
      <c r="E7" s="11"/>
    </row>
    <row r="8" spans="1:5" ht="15.75">
      <c r="A8" s="11"/>
      <c r="B8" s="11"/>
      <c r="C8" s="11"/>
      <c r="D8" s="11"/>
      <c r="E8" s="11"/>
    </row>
    <row r="9" spans="1:5" ht="15.75">
      <c r="A9" s="11" t="s">
        <v>260</v>
      </c>
      <c r="B9" s="11"/>
      <c r="C9" s="11"/>
      <c r="D9" s="11"/>
      <c r="E9" s="11"/>
    </row>
    <row r="10" spans="1:5" ht="15.75">
      <c r="A10" s="11" t="s">
        <v>261</v>
      </c>
      <c r="B10" s="11"/>
      <c r="C10" s="11"/>
      <c r="D10" s="11"/>
      <c r="E10" s="11"/>
    </row>
    <row r="11" spans="1:5" ht="15.75">
      <c r="A11" s="11"/>
      <c r="B11" s="11"/>
      <c r="C11" s="11"/>
      <c r="D11" s="11"/>
      <c r="E11" s="11"/>
    </row>
    <row r="12" spans="1:5" ht="15.75">
      <c r="A12" s="11"/>
      <c r="B12" s="11"/>
      <c r="C12" s="11"/>
      <c r="D12" s="11"/>
      <c r="E12" s="11"/>
    </row>
    <row r="13" spans="1:5" ht="15.75">
      <c r="A13" s="11"/>
      <c r="B13" s="11"/>
      <c r="C13" s="11"/>
      <c r="D13" s="11"/>
      <c r="E13" s="11"/>
    </row>
    <row r="14" spans="1:5" ht="15.75">
      <c r="A14" s="11"/>
      <c r="B14" s="11"/>
      <c r="C14" s="11"/>
      <c r="D14" s="11"/>
      <c r="E14" s="11"/>
    </row>
    <row r="15" spans="1:5" ht="15.75">
      <c r="A15" s="11"/>
      <c r="B15" s="11"/>
      <c r="C15" s="11"/>
      <c r="D15" s="11"/>
      <c r="E15" s="11"/>
    </row>
    <row r="16" spans="1:5" ht="15.75">
      <c r="A16" s="11"/>
      <c r="B16" s="11"/>
      <c r="C16" s="11"/>
      <c r="D16" s="11"/>
      <c r="E16" s="11"/>
    </row>
    <row r="17" spans="1:5" ht="15.75">
      <c r="A17" s="11"/>
      <c r="B17" s="11"/>
      <c r="C17" s="11"/>
      <c r="D17" s="11"/>
      <c r="E17" s="11"/>
    </row>
    <row r="18" spans="1:5" ht="15.75">
      <c r="A18" s="11"/>
      <c r="B18" s="11"/>
      <c r="C18" s="11"/>
      <c r="D18" s="11"/>
      <c r="E18" s="11"/>
    </row>
    <row r="19" spans="1:5" ht="15.75">
      <c r="A19" s="11"/>
      <c r="B19" s="11"/>
      <c r="C19" s="11"/>
      <c r="D19" s="11"/>
      <c r="E19" s="11"/>
    </row>
    <row r="20" spans="1:5" ht="15.75">
      <c r="A20" s="11"/>
      <c r="B20" s="11"/>
      <c r="C20" s="11"/>
      <c r="D20" s="11"/>
      <c r="E20" s="11"/>
    </row>
    <row r="21" spans="1:5" ht="15.75">
      <c r="A21" s="11"/>
      <c r="B21" s="11"/>
      <c r="C21" s="11"/>
      <c r="D21" s="11"/>
      <c r="E21" s="11"/>
    </row>
    <row r="22" spans="1:5" ht="15.75">
      <c r="A22" s="11"/>
      <c r="B22" s="11"/>
      <c r="C22" s="11"/>
      <c r="D22" s="11"/>
      <c r="E22" s="11"/>
    </row>
    <row r="23" spans="1:5" ht="15.75">
      <c r="A23" s="11"/>
      <c r="B23" s="11"/>
      <c r="C23" s="11"/>
      <c r="D23" s="11"/>
      <c r="E23" s="11"/>
    </row>
    <row r="24" spans="1:5" ht="15.75">
      <c r="A24" s="11"/>
      <c r="B24" s="11"/>
      <c r="C24" s="11"/>
      <c r="D24" s="11"/>
      <c r="E24" s="11"/>
    </row>
    <row r="25" spans="1:5" ht="15.75">
      <c r="A25" s="11"/>
      <c r="B25" s="11"/>
      <c r="C25" s="11"/>
      <c r="D25" s="11"/>
      <c r="E25" s="1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5"/>
  <sheetViews>
    <sheetView tabSelected="1" workbookViewId="0">
      <selection activeCell="B19" sqref="B19"/>
    </sheetView>
  </sheetViews>
  <sheetFormatPr defaultColWidth="12.5703125" defaultRowHeight="15.75" customHeight="1"/>
  <cols>
    <col min="1" max="1" width="32.42578125" style="1" customWidth="1"/>
    <col min="2" max="2" width="22.42578125" customWidth="1"/>
    <col min="4" max="4" width="29.85546875" customWidth="1"/>
    <col min="5" max="5" width="14.42578125" bestFit="1" customWidth="1"/>
    <col min="6" max="6" width="15.140625" bestFit="1" customWidth="1"/>
  </cols>
  <sheetData>
    <row r="1" spans="1:26">
      <c r="A1" s="20" t="s">
        <v>262</v>
      </c>
      <c r="B1" s="11"/>
      <c r="C1" s="11"/>
      <c r="D1" s="11"/>
      <c r="E1" s="11"/>
      <c r="F1" s="11"/>
    </row>
    <row r="2" spans="1:26">
      <c r="A2" s="20"/>
      <c r="B2" s="11"/>
      <c r="C2" s="11"/>
      <c r="D2" s="11"/>
      <c r="E2" s="11"/>
      <c r="F2" s="11"/>
    </row>
    <row r="3" spans="1:26">
      <c r="A3" s="13" t="s">
        <v>263</v>
      </c>
      <c r="B3" s="13"/>
      <c r="C3" s="13"/>
      <c r="D3" s="11"/>
      <c r="E3" s="11"/>
      <c r="F3" s="11"/>
    </row>
    <row r="4" spans="1:26">
      <c r="A4" s="13" t="s">
        <v>264</v>
      </c>
      <c r="B4" s="13"/>
      <c r="C4" s="13"/>
      <c r="D4" s="11"/>
      <c r="E4" s="11"/>
      <c r="F4" s="11"/>
    </row>
    <row r="5" spans="1:26">
      <c r="A5" s="20"/>
      <c r="B5" s="11"/>
      <c r="C5" s="11"/>
      <c r="D5" s="11"/>
      <c r="E5" s="11"/>
      <c r="F5" s="11"/>
    </row>
    <row r="6" spans="1:26">
      <c r="A6" s="13" t="s">
        <v>265</v>
      </c>
      <c r="B6" s="13" t="s">
        <v>0</v>
      </c>
      <c r="C6" s="13" t="s">
        <v>133</v>
      </c>
      <c r="D6" s="13" t="s">
        <v>266</v>
      </c>
      <c r="E6" s="13" t="s">
        <v>226</v>
      </c>
      <c r="F6" s="13" t="s">
        <v>227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1" t="s">
        <v>235</v>
      </c>
      <c r="B7" s="11" t="s">
        <v>267</v>
      </c>
      <c r="C7" s="11">
        <v>2019</v>
      </c>
      <c r="D7" s="11" t="s">
        <v>268</v>
      </c>
      <c r="E7" s="11" t="s">
        <v>269</v>
      </c>
      <c r="F7" s="11" t="s">
        <v>270</v>
      </c>
      <c r="G7" s="5"/>
    </row>
    <row r="8" spans="1:26">
      <c r="A8" s="11" t="s">
        <v>271</v>
      </c>
      <c r="B8" s="11" t="s">
        <v>272</v>
      </c>
      <c r="C8" s="11">
        <v>2022</v>
      </c>
      <c r="D8" s="11" t="s">
        <v>273</v>
      </c>
      <c r="E8" s="11" t="s">
        <v>274</v>
      </c>
      <c r="F8" s="11" t="s">
        <v>275</v>
      </c>
      <c r="G8" s="5"/>
    </row>
    <row r="9" spans="1:26">
      <c r="A9" s="11" t="s">
        <v>276</v>
      </c>
      <c r="B9" s="11" t="s">
        <v>277</v>
      </c>
      <c r="C9" s="11">
        <v>2018</v>
      </c>
      <c r="D9" s="11" t="s">
        <v>278</v>
      </c>
      <c r="E9" s="11" t="s">
        <v>279</v>
      </c>
      <c r="F9" s="11" t="s">
        <v>280</v>
      </c>
      <c r="G9" s="5"/>
    </row>
    <row r="10" spans="1:26">
      <c r="A10" s="11" t="s">
        <v>281</v>
      </c>
      <c r="B10" s="11" t="s">
        <v>282</v>
      </c>
      <c r="C10" s="11">
        <v>2021</v>
      </c>
      <c r="D10" s="11" t="s">
        <v>283</v>
      </c>
      <c r="E10" s="11" t="s">
        <v>284</v>
      </c>
      <c r="F10" s="11" t="s">
        <v>285</v>
      </c>
      <c r="G10" s="5"/>
    </row>
    <row r="11" spans="1:26">
      <c r="A11" s="11" t="s">
        <v>286</v>
      </c>
      <c r="B11" s="11" t="s">
        <v>287</v>
      </c>
      <c r="C11" s="11">
        <v>2019</v>
      </c>
      <c r="D11" s="11" t="s">
        <v>288</v>
      </c>
      <c r="E11" s="11" t="s">
        <v>289</v>
      </c>
      <c r="F11" s="11" t="s">
        <v>290</v>
      </c>
      <c r="G11" s="5"/>
    </row>
    <row r="12" spans="1:26">
      <c r="A12" s="20"/>
      <c r="B12" s="11"/>
      <c r="C12" s="11"/>
      <c r="D12" s="11"/>
      <c r="E12" s="11"/>
      <c r="F12" s="11"/>
    </row>
    <row r="13" spans="1:26">
      <c r="A13" s="13" t="s">
        <v>291</v>
      </c>
      <c r="B13" s="20"/>
      <c r="C13" s="20"/>
      <c r="D13" s="20"/>
      <c r="E13" s="20"/>
      <c r="F13" s="20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3" t="s">
        <v>292</v>
      </c>
      <c r="B14" s="21"/>
      <c r="C14" s="13"/>
      <c r="D14" s="13"/>
      <c r="E14" s="13"/>
      <c r="F14" s="11"/>
    </row>
    <row r="15" spans="1:26">
      <c r="A15" s="20"/>
      <c r="B15" s="22"/>
      <c r="C15" s="11"/>
      <c r="D15" s="11"/>
      <c r="E15" s="11"/>
      <c r="F15" s="11"/>
    </row>
    <row r="16" spans="1:26">
      <c r="B16" s="5"/>
    </row>
    <row r="17" spans="2:26"/>
    <row r="18" spans="2:26"/>
    <row r="19" spans="2:26">
      <c r="B19" s="3"/>
    </row>
    <row r="20" spans="2:26"/>
    <row r="21" spans="2:26"/>
    <row r="22" spans="2:26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2:26">
      <c r="B23" s="5"/>
      <c r="C23" s="4"/>
    </row>
    <row r="24" spans="2:26">
      <c r="B24" s="5"/>
      <c r="C24" s="4"/>
    </row>
    <row r="25" spans="2:26">
      <c r="B25" s="5"/>
      <c r="C25" s="4"/>
    </row>
    <row r="26" spans="2:26"/>
    <row r="27" spans="2:26"/>
    <row r="28" spans="2:26">
      <c r="B28" s="3"/>
    </row>
    <row r="29" spans="2:26"/>
    <row r="30" spans="2:26">
      <c r="B30" s="4"/>
    </row>
    <row r="31" spans="2:26">
      <c r="B31" s="4"/>
    </row>
    <row r="32" spans="2:26">
      <c r="B32" s="4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</sheetData>
  <pageMargins left="0" right="0" top="0" bottom="0" header="0" footer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82543-9C1A-4ADF-A9F4-1572508C03FD}">
  <dimension ref="A2:E2"/>
  <sheetViews>
    <sheetView workbookViewId="0">
      <selection activeCell="F21" sqref="F21"/>
    </sheetView>
  </sheetViews>
  <sheetFormatPr defaultRowHeight="12.75"/>
  <cols>
    <col min="1" max="1" width="28" customWidth="1"/>
    <col min="5" max="5" width="26.7109375" customWidth="1"/>
  </cols>
  <sheetData>
    <row r="2" spans="1:5" ht="15.75">
      <c r="A2" s="13" t="s">
        <v>293</v>
      </c>
      <c r="E2" s="13" t="s">
        <v>294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2026-01-23T20:23:07Z</dcterms:created>
  <dcterms:modified xsi:type="dcterms:W3CDTF">2026-02-01T13:45:42Z</dcterms:modified>
  <cp:category/>
  <cp:contentStatus/>
</cp:coreProperties>
</file>