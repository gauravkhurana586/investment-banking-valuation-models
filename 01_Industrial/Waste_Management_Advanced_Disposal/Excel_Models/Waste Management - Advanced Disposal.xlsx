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guaravkhurana586/Downloads/"/>
    </mc:Choice>
  </mc:AlternateContent>
  <xr:revisionPtr revIDLastSave="0" documentId="8_{26A8F8A1-9DEA-4EBC-A1F6-9AF7AB4A776C}" xr6:coauthVersionLast="47" xr6:coauthVersionMax="47" xr10:uidLastSave="{00000000-0000-0000-0000-000000000000}"/>
  <bookViews>
    <workbookView xWindow="0" yWindow="0" windowWidth="28800" windowHeight="18000" firstSheet="2" activeTab="2" xr2:uid="{00000000-000D-0000-FFFF-FFFF00000000}"/>
  </bookViews>
  <sheets>
    <sheet name="Model Overview and Valuation Su" sheetId="1" r:id="rId1"/>
    <sheet name="Key Assumptions&amp; MOdel Controls" sheetId="2" r:id="rId2"/>
    <sheet name="Operating Projections" sheetId="3" r:id="rId3"/>
    <sheet name="Unleveraged Cash Flow" sheetId="4" r:id="rId4"/>
    <sheet name="DCF Valuation" sheetId="5" r:id="rId5"/>
    <sheet name="DCF Sensitivities" sheetId="6" r:id="rId6"/>
    <sheet name="Trading and Trsaction Valuation" sheetId="7" r:id="rId7"/>
    <sheet name="Trading Comp - Appendix" sheetId="8" r:id="rId8"/>
    <sheet name="Trading Comp Implied Valuation-" sheetId="9" r:id="rId9"/>
    <sheet name="Precedent Transactions - Append" sheetId="10" r:id="rId10"/>
    <sheet name="Precendent Transactions Implied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5" l="1"/>
  <c r="B34" i="5"/>
  <c r="B27" i="5"/>
  <c r="F17" i="5"/>
  <c r="F22" i="5" s="1"/>
  <c r="F23" i="5" s="1"/>
  <c r="E17" i="5"/>
  <c r="E22" i="5" s="1"/>
  <c r="D17" i="5"/>
  <c r="D22" i="5" s="1"/>
  <c r="C17" i="5"/>
  <c r="C22" i="5" s="1"/>
  <c r="B17" i="5"/>
  <c r="B22" i="5" s="1"/>
  <c r="C13" i="4"/>
  <c r="C11" i="4"/>
  <c r="B5" i="4"/>
  <c r="C4" i="4"/>
  <c r="B4" i="4"/>
  <c r="B11" i="4" s="1"/>
  <c r="B6" i="4" s="1"/>
  <c r="C6" i="3"/>
  <c r="C5" i="4" s="1"/>
  <c r="C6" i="4" s="1"/>
  <c r="D4" i="3"/>
  <c r="D6" i="3" s="1"/>
  <c r="D5" i="4" s="1"/>
  <c r="C4" i="3"/>
  <c r="C8" i="4" l="1"/>
  <c r="C16" i="4"/>
  <c r="B13" i="5" s="1"/>
  <c r="C9" i="4"/>
  <c r="B8" i="4"/>
  <c r="B9" i="4" s="1"/>
  <c r="B16" i="4" s="1"/>
  <c r="E4" i="3"/>
  <c r="D4" i="4"/>
  <c r="B13" i="4"/>
  <c r="E4" i="4" l="1"/>
  <c r="F4" i="3"/>
  <c r="E6" i="3"/>
  <c r="E5" i="4" s="1"/>
  <c r="D13" i="4"/>
  <c r="D11" i="4"/>
  <c r="D6" i="4" s="1"/>
  <c r="B21" i="5"/>
  <c r="B23" i="5" s="1"/>
  <c r="D8" i="4" l="1"/>
  <c r="D16" i="4" s="1"/>
  <c r="C13" i="5" s="1"/>
  <c r="F6" i="3"/>
  <c r="F5" i="4" s="1"/>
  <c r="F4" i="4"/>
  <c r="G4" i="3"/>
  <c r="E11" i="4"/>
  <c r="E6" i="4" s="1"/>
  <c r="E13" i="4"/>
  <c r="E8" i="4" l="1"/>
  <c r="E16" i="4" s="1"/>
  <c r="D13" i="5" s="1"/>
  <c r="C21" i="5"/>
  <c r="C23" i="5" s="1"/>
  <c r="G4" i="4"/>
  <c r="G6" i="3"/>
  <c r="G5" i="4" s="1"/>
  <c r="F11" i="4"/>
  <c r="F6" i="4" s="1"/>
  <c r="F13" i="4"/>
  <c r="D9" i="4"/>
  <c r="F8" i="4" l="1"/>
  <c r="F16" i="4" s="1"/>
  <c r="E13" i="5" s="1"/>
  <c r="F9" i="4"/>
  <c r="D21" i="5"/>
  <c r="D23" i="5" s="1"/>
  <c r="G11" i="4"/>
  <c r="G13" i="4"/>
  <c r="G6" i="4"/>
  <c r="E9" i="4"/>
  <c r="E21" i="5" l="1"/>
  <c r="E23" i="5" s="1"/>
  <c r="G23" i="5" s="1"/>
  <c r="B40" i="5" s="1"/>
  <c r="B42" i="5" s="1"/>
  <c r="B48" i="5" s="1"/>
  <c r="B50" i="5" s="1"/>
  <c r="B54" i="5" s="1"/>
  <c r="B56" i="5" s="1"/>
  <c r="G8" i="4"/>
  <c r="G16" i="4" s="1"/>
  <c r="F13" i="5" s="1"/>
  <c r="G13" i="5" s="1"/>
  <c r="G9" i="4"/>
</calcChain>
</file>

<file path=xl/sharedStrings.xml><?xml version="1.0" encoding="utf-8"?>
<sst xmlns="http://schemas.openxmlformats.org/spreadsheetml/2006/main" count="309" uniqueCount="196">
  <si>
    <t>Transaction Snapshot</t>
  </si>
  <si>
    <t>Values</t>
  </si>
  <si>
    <t>Acquirer</t>
  </si>
  <si>
    <t>Waste Management, Inc.</t>
  </si>
  <si>
    <t>Target</t>
  </si>
  <si>
    <t>Advanced Disposal Services</t>
  </si>
  <si>
    <t>Transaction Type</t>
  </si>
  <si>
    <t>Strategic Acquisition</t>
  </si>
  <si>
    <t>Sector</t>
  </si>
  <si>
    <t>Environmental Services</t>
  </si>
  <si>
    <t>Currency</t>
  </si>
  <si>
    <t>USD (mm)</t>
  </si>
  <si>
    <t>Key Valuation Assumptions</t>
  </si>
  <si>
    <t>Value</t>
  </si>
  <si>
    <t>WACC</t>
  </si>
  <si>
    <t>Terminal Growth Rate</t>
  </si>
  <si>
    <t>Explicit Forecast Period</t>
  </si>
  <si>
    <t>5 Years</t>
  </si>
  <si>
    <t>Valuation Methods</t>
  </si>
  <si>
    <t>DCF / Trading Comps / Precedents</t>
  </si>
  <si>
    <t>Implied Equity Value per Share — Advanced Disposal</t>
  </si>
  <si>
    <t>Valuation Method</t>
  </si>
  <si>
    <t>Value / Share</t>
  </si>
  <si>
    <t>DCF (Intrinsic Value)</t>
  </si>
  <si>
    <t>Trading Comps (Public Market)</t>
  </si>
  <si>
    <t>$51.4 – $65.5</t>
  </si>
  <si>
    <t>Precedent Transactions (Control)</t>
  </si>
  <si>
    <t>$55.2 – $69.2</t>
  </si>
  <si>
    <t>Offer Price (WM Acquisition)</t>
  </si>
  <si>
    <t>INVESTMENT VIEW</t>
  </si>
  <si>
    <t>• DCF analysis implies intrinsic value above public trading levels, supported by stable cash flows and asset-backed operations.</t>
  </si>
  <si>
    <t>• Public market and precedent transaction multiples provide valuation support within a reasonable control premium range.</t>
  </si>
  <si>
    <t>• Acquisition rationale supported by strategic fit, operating synergies, and long-term cash flow visibility.</t>
  </si>
  <si>
    <t>Operating Assumptions</t>
  </si>
  <si>
    <t>Revenue Growth (CGAR)</t>
  </si>
  <si>
    <t>EBITDA  Margin</t>
  </si>
  <si>
    <t>28-28.5%</t>
  </si>
  <si>
    <t>D&amp;A % of Revenue</t>
  </si>
  <si>
    <t>CapEx % of Revenue</t>
  </si>
  <si>
    <t>14-14.5%</t>
  </si>
  <si>
    <t>Change in NWC % of Revenue</t>
  </si>
  <si>
    <t>Valuation Assumptions</t>
  </si>
  <si>
    <t>Column1</t>
  </si>
  <si>
    <t>WAAC</t>
  </si>
  <si>
    <t>Projection Period</t>
  </si>
  <si>
    <t>Terminal Value Method</t>
  </si>
  <si>
    <t>Prepetuity Growth</t>
  </si>
  <si>
    <t>Capital Structure and Share Data</t>
  </si>
  <si>
    <t>Net Debt</t>
  </si>
  <si>
    <t>Diluted Shares Outstanding</t>
  </si>
  <si>
    <t>Equity Value (DCF)</t>
  </si>
  <si>
    <t>Model Controls</t>
  </si>
  <si>
    <t xml:space="preserve">USD mm </t>
  </si>
  <si>
    <t>Fisical Year Convention</t>
  </si>
  <si>
    <t>2023A</t>
  </si>
  <si>
    <t>Inflated embedded</t>
  </si>
  <si>
    <t>Yes</t>
  </si>
  <si>
    <t xml:space="preserve">Model Type </t>
  </si>
  <si>
    <t>Stadalone Valuation</t>
  </si>
  <si>
    <t>Sensitivity Method</t>
  </si>
  <si>
    <t>WACC x Terminal Growth</t>
  </si>
  <si>
    <t>($mm)</t>
  </si>
  <si>
    <t>2023A (Base)</t>
  </si>
  <si>
    <t>2024E (Y1)</t>
  </si>
  <si>
    <t>2025E (Y2)</t>
  </si>
  <si>
    <t>2026E (Y3)</t>
  </si>
  <si>
    <t>2027E (Y4)</t>
  </si>
  <si>
    <t>2028E (Y5)</t>
  </si>
  <si>
    <t>Revenue</t>
  </si>
  <si>
    <t>YoY Growth</t>
  </si>
  <si>
    <t>EBITDA</t>
  </si>
  <si>
    <t>EBITDA Margin</t>
  </si>
  <si>
    <t>Revenue CGAR</t>
  </si>
  <si>
    <t>EBITDA CGAR</t>
  </si>
  <si>
    <t>EBITDA Margin  Range</t>
  </si>
  <si>
    <t>28%-28.5%</t>
  </si>
  <si>
    <t>Metrics</t>
  </si>
  <si>
    <t>2024E</t>
  </si>
  <si>
    <t>2025E</t>
  </si>
  <si>
    <t>2026E</t>
  </si>
  <si>
    <t>2027E</t>
  </si>
  <si>
    <t>2028E</t>
  </si>
  <si>
    <t>EBIT</t>
  </si>
  <si>
    <t>Cash Tax Rate (%)</t>
  </si>
  <si>
    <t>Cash Taxes</t>
  </si>
  <si>
    <t>NOPAT</t>
  </si>
  <si>
    <t>D&amp;A (% of Revenue)</t>
  </si>
  <si>
    <t>Depreciation &amp; Amortization</t>
  </si>
  <si>
    <t>CapEx (% of Revenue)</t>
  </si>
  <si>
    <t>Capital Expenditures</t>
  </si>
  <si>
    <t>Change in NWC (% of Revenue)</t>
  </si>
  <si>
    <t>Change in Net Working Capital</t>
  </si>
  <si>
    <t>Unlevered Free Cash Flow</t>
  </si>
  <si>
    <t>Cash Flow Matrix</t>
  </si>
  <si>
    <t>UFCF CGAR</t>
  </si>
  <si>
    <t>Avg UFCF Margin</t>
  </si>
  <si>
    <t>Cash Conversion</t>
  </si>
  <si>
    <t>Unleveraged Free Cash Flow</t>
  </si>
  <si>
    <t>UFCF</t>
  </si>
  <si>
    <t>Total PV</t>
  </si>
  <si>
    <t>Year</t>
  </si>
  <si>
    <t xml:space="preserve">Discount Factor </t>
  </si>
  <si>
    <t>Present Value of Future Cash Flow</t>
  </si>
  <si>
    <t>Disount Factor</t>
  </si>
  <si>
    <t>PV of FCF</t>
  </si>
  <si>
    <t xml:space="preserve">UFCF Year 2028 E </t>
  </si>
  <si>
    <t>Termianal Value</t>
  </si>
  <si>
    <t>Present Value of Termianl Value</t>
  </si>
  <si>
    <t>Terminal Value</t>
  </si>
  <si>
    <t>Discount Factor</t>
  </si>
  <si>
    <t>PV of Termianal Value</t>
  </si>
  <si>
    <t>Enterprise Value Build</t>
  </si>
  <si>
    <t>PV of UFCF (Year 2024-2028)</t>
  </si>
  <si>
    <t>PV of Terminal Value</t>
  </si>
  <si>
    <t xml:space="preserve">Enterprise Value  </t>
  </si>
  <si>
    <t>Equity Value Bridge</t>
  </si>
  <si>
    <t>Enterprise Value</t>
  </si>
  <si>
    <t xml:space="preserve">Equity Value  </t>
  </si>
  <si>
    <t>Implied Share Value</t>
  </si>
  <si>
    <t>Equity Value</t>
  </si>
  <si>
    <t>Diluted shares</t>
  </si>
  <si>
    <t>DCF value/ share</t>
  </si>
  <si>
    <t xml:space="preserve">Sensitivities </t>
  </si>
  <si>
    <t>WACC \ g</t>
  </si>
  <si>
    <t>2.25% (Base)</t>
  </si>
  <si>
    <t>6.55% (Base)</t>
  </si>
  <si>
    <t>The $30.30 cash offer represents a conservative, risk-adjusted entry price relative to standalone valuation benchmarks</t>
  </si>
  <si>
    <t>EV/ EBITDA</t>
  </si>
  <si>
    <t>Trading Comps</t>
  </si>
  <si>
    <t xml:space="preserve">8.6 x </t>
  </si>
  <si>
    <t>25th Percentile</t>
  </si>
  <si>
    <t>9.3 x</t>
  </si>
  <si>
    <t>Median</t>
  </si>
  <si>
    <t>10.1 x</t>
  </si>
  <si>
    <t>75th Percentile</t>
  </si>
  <si>
    <t>WM LTM EBITDA</t>
  </si>
  <si>
    <t>Precedent Trasactions</t>
  </si>
  <si>
    <t>EV / EBITDA</t>
  </si>
  <si>
    <t>Low</t>
  </si>
  <si>
    <t>9.0 x</t>
  </si>
  <si>
    <t xml:space="preserve">9.8 x </t>
  </si>
  <si>
    <t>High</t>
  </si>
  <si>
    <t>10.5 x</t>
  </si>
  <si>
    <t>Implied Valuation Range</t>
  </si>
  <si>
    <t>Diluted Shares</t>
  </si>
  <si>
    <t>Precedent Transactions</t>
  </si>
  <si>
    <t>Public market multiples imply a premium valuation relative to intrinsic DCF, reflecting WM’s stable, infrastructure-like cash flows.</t>
  </si>
  <si>
    <t xml:space="preserve"> Precedent transactions further support higher control valuations, consistent with scarcity value and defensive end-market exposure.</t>
  </si>
  <si>
    <t>Company</t>
  </si>
  <si>
    <t>Enterprise Value ($mm)</t>
  </si>
  <si>
    <t>LTM EBITDA ($mm)</t>
  </si>
  <si>
    <t>Waste Connections</t>
  </si>
  <si>
    <t>8.7x</t>
  </si>
  <si>
    <t>Republic Services</t>
  </si>
  <si>
    <t>9.2x</t>
  </si>
  <si>
    <t>GFL Environmental</t>
  </si>
  <si>
    <t>9.1x</t>
  </si>
  <si>
    <t>Clean Harbors</t>
  </si>
  <si>
    <t>10.3x</t>
  </si>
  <si>
    <t>Casella Waste Systems</t>
  </si>
  <si>
    <t>10.1x</t>
  </si>
  <si>
    <t>Statistic</t>
  </si>
  <si>
    <t>8.6x</t>
  </si>
  <si>
    <t>9.3x</t>
  </si>
  <si>
    <t>Note: Financial data based on latest available LTM public filings.</t>
  </si>
  <si>
    <t>Input</t>
  </si>
  <si>
    <t>Advanced Disposal LTM EBITDA</t>
  </si>
  <si>
    <t>$1,030 mm</t>
  </si>
  <si>
    <t>$3,200 mm</t>
  </si>
  <si>
    <t>110 mm</t>
  </si>
  <si>
    <t>Implied Valuation- Trading Comps</t>
  </si>
  <si>
    <t>Case</t>
  </si>
  <si>
    <t>Implied Enterprise Value ($mm)</t>
  </si>
  <si>
    <t>Implied Enterprise Value</t>
  </si>
  <si>
    <t>Less: Net Debt</t>
  </si>
  <si>
    <t>Implied Equity Value</t>
  </si>
  <si>
    <t>Implied Equity Value per Share</t>
  </si>
  <si>
    <t>Equity Value ($mm)</t>
  </si>
  <si>
    <t>Shares (mm)</t>
  </si>
  <si>
    <t>Announcement Year</t>
  </si>
  <si>
    <t>Deal EV ($mm)</t>
  </si>
  <si>
    <t>Progressive Waste</t>
  </si>
  <si>
    <t>US Ecology</t>
  </si>
  <si>
    <t>WCA Waste</t>
  </si>
  <si>
    <t>9.5x</t>
  </si>
  <si>
    <t>Waste Management</t>
  </si>
  <si>
    <t>Advanced Disposal</t>
  </si>
  <si>
    <t>9.8x</t>
  </si>
  <si>
    <t>Environmental Services Unit</t>
  </si>
  <si>
    <t>10.5x</t>
  </si>
  <si>
    <t>Trasaction Multiple Statistics</t>
  </si>
  <si>
    <t>9.0x</t>
  </si>
  <si>
    <t>Note: Transaction multiples based on publicly disclosed deal values and LTM EBITDA at announcement.</t>
  </si>
  <si>
    <t>Key Inputs</t>
  </si>
  <si>
    <t>Implied Enterprise Value- Precedent Transactions</t>
  </si>
  <si>
    <t>Implied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</si>
</sst>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#,##0.0"/>
    <numFmt numFmtId="166" formatCode="0.000"/>
  </numFmts>
  <fonts count="15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Times New Roman"/>
      <family val="1"/>
    </font>
    <font>
      <sz val="10"/>
      <color rgb="FF0000FF"/>
      <name val="Arial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sz val="12"/>
      <color theme="4" tint="-0.249977111117893"/>
      <name val="Times New Roman"/>
      <family val="1"/>
    </font>
    <font>
      <b/>
      <sz val="12"/>
      <color rgb="FF000000"/>
      <name val="Arial (Body)"/>
    </font>
    <font>
      <sz val="14"/>
      <color theme="1"/>
      <name val="Times New Roman"/>
      <family val="1"/>
    </font>
    <font>
      <b/>
      <sz val="14"/>
      <color theme="4" tint="-0.249977111117893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 applyAlignment="1">
      <alignment horizontal="center"/>
    </xf>
    <xf numFmtId="4" fontId="1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right"/>
    </xf>
    <xf numFmtId="9" fontId="1" fillId="0" borderId="0" xfId="0" applyNumberFormat="1" applyFont="1"/>
    <xf numFmtId="166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8" fontId="2" fillId="0" borderId="0" xfId="0" applyNumberFormat="1" applyFont="1"/>
    <xf numFmtId="0" fontId="7" fillId="0" borderId="0" xfId="0" applyFont="1"/>
    <xf numFmtId="9" fontId="2" fillId="0" borderId="0" xfId="0" applyNumberFormat="1" applyFont="1"/>
    <xf numFmtId="0" fontId="8" fillId="0" borderId="0" xfId="0" applyFont="1"/>
    <xf numFmtId="0" fontId="9" fillId="0" borderId="0" xfId="0" applyFont="1"/>
    <xf numFmtId="166" fontId="9" fillId="0" borderId="0" xfId="0" applyNumberFormat="1" applyFont="1"/>
    <xf numFmtId="0" fontId="9" fillId="3" borderId="0" xfId="0" applyFont="1" applyFill="1"/>
    <xf numFmtId="0" fontId="10" fillId="0" borderId="0" xfId="0" applyFont="1"/>
    <xf numFmtId="10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0" fontId="11" fillId="0" borderId="0" xfId="0" applyNumberFormat="1" applyFont="1"/>
    <xf numFmtId="164" fontId="11" fillId="0" borderId="0" xfId="0" applyNumberFormat="1" applyFont="1"/>
    <xf numFmtId="0" fontId="11" fillId="2" borderId="0" xfId="0" applyFont="1" applyFill="1"/>
    <xf numFmtId="164" fontId="11" fillId="2" borderId="0" xfId="0" applyNumberFormat="1" applyFont="1" applyFill="1"/>
    <xf numFmtId="3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0" borderId="0" xfId="0" applyFont="1"/>
    <xf numFmtId="164" fontId="12" fillId="0" borderId="0" xfId="0" applyNumberFormat="1" applyFont="1"/>
    <xf numFmtId="3" fontId="12" fillId="0" borderId="0" xfId="0" applyNumberFormat="1" applyFont="1"/>
    <xf numFmtId="3" fontId="11" fillId="0" borderId="0" xfId="0" applyNumberFormat="1" applyFont="1"/>
    <xf numFmtId="0" fontId="5" fillId="3" borderId="0" xfId="0" applyFont="1" applyFill="1"/>
    <xf numFmtId="3" fontId="5" fillId="3" borderId="0" xfId="0" applyNumberFormat="1" applyFont="1" applyFill="1"/>
    <xf numFmtId="164" fontId="12" fillId="3" borderId="0" xfId="0" applyNumberFormat="1" applyFont="1" applyFill="1"/>
  </cellXfs>
  <cellStyles count="1">
    <cellStyle name="Normal" xfId="0" builtinId="0"/>
  </cellStyles>
  <dxfs count="19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925AA-0D30-9B49-860E-FF12616811C1}" name="Table1" displayName="Table1" ref="A2:B7" totalsRowShown="0" headerRowDxfId="196" dataDxfId="195">
  <autoFilter ref="A2:B7" xr:uid="{2EE925AA-0D30-9B49-860E-FF12616811C1}"/>
  <tableColumns count="2">
    <tableColumn id="1" xr3:uid="{1D1D2CAF-2807-C44B-995C-85D97B153958}" name="Transaction Snapshot" dataDxfId="194"/>
    <tableColumn id="2" xr3:uid="{37C227A3-E6CC-A94E-BEC1-D240256B6AC9}" name="Values" dataDxfId="19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7DD79-0739-9143-99F3-3883C5F623A8}" name="Table2" displayName="Table2" ref="A10:B15" totalsRowShown="0" headerRowDxfId="192">
  <autoFilter ref="A10:B15" xr:uid="{9637DD79-0739-9143-99F3-3883C5F623A8}"/>
  <tableColumns count="2">
    <tableColumn id="1" xr3:uid="{1A3E4FA0-2D8F-AA40-B530-9D23936736B6}" name="Key Valuation Assumptions" dataDxfId="191"/>
    <tableColumn id="2" xr3:uid="{CC5BC5F5-4EB1-9D4A-9786-86CC5DC3F07F}" name="Valu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E5963-750A-0842-BF08-E6BD017F17C5}" name="Table3" displayName="Table3" ref="A19:B23" totalsRowShown="0" headerRowDxfId="190" dataDxfId="189">
  <autoFilter ref="A19:B23" xr:uid="{DB9E5963-750A-0842-BF08-E6BD017F17C5}"/>
  <tableColumns count="2">
    <tableColumn id="1" xr3:uid="{9AEFFD22-CF9D-664C-9D39-793EFCDEED3C}" name="Valuation Method" dataDxfId="188"/>
    <tableColumn id="2" xr3:uid="{C45A714E-4452-6D4D-B0B8-DB777287162E}" name="Value / Share" dataDxfId="18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F7176F-A760-9844-AB42-8AC4B6C323B5}" name="Table4" displayName="Table4" ref="A3:B10" totalsRowShown="0" headerRowDxfId="186" dataDxfId="185">
  <autoFilter ref="A3:B10" xr:uid="{D4F7176F-A760-9844-AB42-8AC4B6C323B5}"/>
  <tableColumns count="2">
    <tableColumn id="1" xr3:uid="{466ED0CD-4D80-3343-A605-8952F233309D}" name="Operating Assumptions" dataDxfId="184"/>
    <tableColumn id="2" xr3:uid="{69BCC6DA-2484-904F-A50C-B13C91714602}" name="Values" dataDxfId="183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F78961-A4E0-3F49-A968-B91F2EA4441E}" name="Table5" displayName="Table5" ref="A13:B17" totalsRowShown="0" headerRowDxfId="182" dataDxfId="181">
  <autoFilter ref="A13:B17" xr:uid="{55F78961-A4E0-3F49-A968-B91F2EA4441E}"/>
  <tableColumns count="2">
    <tableColumn id="1" xr3:uid="{045DE299-7E30-3942-98DE-8377FBAF6BE0}" name="Valuation Assumptions" dataDxfId="180"/>
    <tableColumn id="2" xr3:uid="{B7C3E7F3-7364-F64D-BA36-759A9ED976E2}" name="Column1" dataDxfId="179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857226-C0B3-F24F-8184-7AA0CD1D3FBC}" name="Table6" displayName="Table6" ref="A20:B23" totalsRowShown="0" headerRowDxfId="178" dataDxfId="177">
  <autoFilter ref="A20:B23" xr:uid="{47857226-C0B3-F24F-8184-7AA0CD1D3FBC}"/>
  <tableColumns count="2">
    <tableColumn id="1" xr3:uid="{B33CE21E-DC0F-C04B-BE19-E273010C765C}" name="Capital Structure and Share Data" dataDxfId="176"/>
    <tableColumn id="2" xr3:uid="{F930F251-B0F4-7F44-9251-3682690F8041}" name="Values" dataDxfId="175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D21179-837B-AF43-A1B0-D6DC4AC46805}" name="Table7" displayName="Table7" ref="A25:B30" totalsRowShown="0" headerRowDxfId="174" dataDxfId="173">
  <autoFilter ref="A25:B30" xr:uid="{89D21179-837B-AF43-A1B0-D6DC4AC46805}"/>
  <tableColumns count="2">
    <tableColumn id="1" xr3:uid="{FFE186C8-AA6D-E54A-8FCD-E58B0153912D}" name="Model Controls" dataDxfId="172"/>
    <tableColumn id="2" xr3:uid="{9D4606BF-D209-4B49-8964-6B5A322B072D}" name="Values" dataDxfId="17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E25135-E26B-F14A-98D0-A46F64820D37}" name="Table8" displayName="Table8" ref="A3:G7" totalsRowShown="0" headerRowDxfId="170">
  <autoFilter ref="A3:G7" xr:uid="{DCE25135-E26B-F14A-98D0-A46F64820D37}"/>
  <tableColumns count="7">
    <tableColumn id="1" xr3:uid="{C482243B-7172-9D44-BC42-CCCDA790F3E0}" name="($mm)" dataDxfId="169"/>
    <tableColumn id="2" xr3:uid="{4751F9EE-D31B-1D4E-909F-052736C57286}" name="2023A (Base)"/>
    <tableColumn id="3" xr3:uid="{D8676FE2-A71D-BE4A-AFFB-16344EFA7011}" name="2024E (Y1)"/>
    <tableColumn id="4" xr3:uid="{E9F96A8E-FB81-A947-832D-80CE8FCD25A1}" name="2025E (Y2)"/>
    <tableColumn id="5" xr3:uid="{2884F501-F0E4-9C4E-BB83-9EA686DBB2C5}" name="2026E (Y3)"/>
    <tableColumn id="6" xr3:uid="{D3DC807C-68F1-C142-8E93-5BE2DA62A441}" name="2027E (Y4)"/>
    <tableColumn id="7" xr3:uid="{9F58966D-F066-404C-9D97-02B069C02A37}" name="2028E (Y5)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AF2D12-F9C6-674D-A66A-2D513640946B}" name="Table9" displayName="Table9" ref="A3:G16" totalsRowShown="0" headerRowDxfId="168">
  <autoFilter ref="A3:G16" xr:uid="{8BAF2D12-F9C6-674D-A66A-2D513640946B}"/>
  <tableColumns count="7">
    <tableColumn id="1" xr3:uid="{3B7DFCA4-F526-1C43-9A44-2507AD0F5A3F}" name="Metrics" dataDxfId="167"/>
    <tableColumn id="2" xr3:uid="{911CC6AF-1435-8647-A52F-54706ED90786}" name="2023A"/>
    <tableColumn id="3" xr3:uid="{F2459397-4F96-E044-A918-5E9502BB7BB3}" name="2024E"/>
    <tableColumn id="4" xr3:uid="{D92D27C1-E452-EB45-A6C5-BCF6EF001358}" name="2025E"/>
    <tableColumn id="5" xr3:uid="{B3E67341-8E4A-6F44-B164-B7BBA0576827}" name="2026E"/>
    <tableColumn id="6" xr3:uid="{8D17D4AB-728E-2E42-9194-456F6EE2F13C}" name="2027E"/>
    <tableColumn id="7" xr3:uid="{C653E539-B4AC-5344-96B8-EF4DA7B76A04}" name="2028E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58B16B-E99A-9B4F-8935-653A9565D534}" name="Table10" displayName="Table10" ref="A21:B23" headerRowCount="0" totalsRowShown="0">
  <tableColumns count="2">
    <tableColumn id="1" xr3:uid="{A5B83F2E-9351-6F4F-9F3A-7AFC03AA4B75}" name="Column1" headerRowDxfId="166" dataDxfId="165"/>
    <tableColumn id="2" xr3:uid="{0BCA0551-5333-4F45-AD62-02891F99FD5D}" name="Column2" headerRowDxfId="164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EE1963-2656-9545-970B-4EBA8E3548DC}" name="Table11" displayName="Table11" ref="A3:B5" headerRowCount="0" totalsRowShown="0">
  <tableColumns count="2">
    <tableColumn id="1" xr3:uid="{7EC6463F-97A7-144E-BD9E-365C637903B1}" name="Column1" headerRowDxfId="163" dataDxfId="162"/>
    <tableColumn id="2" xr3:uid="{B8BF2E17-03CF-5C4A-B677-530A088390A8}" name="Column2" headerRowDxfId="161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D4D8BB-DE03-8841-8513-AD827D8C8124}" name="Table12" displayName="Table12" ref="A11:G13" headerRowCount="0" totalsRowShown="0" headerRowDxfId="160">
  <tableColumns count="7">
    <tableColumn id="1" xr3:uid="{A40CA49C-E913-074C-93D4-2426B780A029}" name="Column1" headerRowDxfId="159" dataDxfId="158"/>
    <tableColumn id="2" xr3:uid="{A420B96D-A463-5C42-A802-2349D4C47C40}" name="Column2" headerRowDxfId="157"/>
    <tableColumn id="3" xr3:uid="{82D0220D-EA57-0448-B6A0-7EC1CB138630}" name="Column3" headerRowDxfId="156"/>
    <tableColumn id="4" xr3:uid="{28977F01-863E-244C-9C4D-31729FF4865A}" name="Column4" headerRowDxfId="155"/>
    <tableColumn id="5" xr3:uid="{C2FECC37-9487-554E-BF4B-7CC9649923F8}" name="Column5" headerRowDxfId="154"/>
    <tableColumn id="6" xr3:uid="{5D1BFC64-867C-0341-9740-5802B5F35BCD}" name="Column6" headerRowDxfId="153"/>
    <tableColumn id="7" xr3:uid="{3CBF4CF5-1A02-8943-953D-80C87531D09F}" name="Column7" headerRowDxfId="15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8A5995-6491-4D48-B072-03B21AF28774}" name="Table13" displayName="Table13" ref="A16:G23" headerRowCount="0" totalsRowShown="0" headerRowDxfId="151" dataDxfId="150">
  <tableColumns count="7">
    <tableColumn id="1" xr3:uid="{6130CB39-7FCE-5D44-A8C1-9CD78C95F123}" name="Disount Factor" headerRowDxfId="149" dataDxfId="148"/>
    <tableColumn id="2" xr3:uid="{C2698868-1968-DE46-BEE9-B5EB4941203F}" name="Column1" headerRowDxfId="147" dataDxfId="146"/>
    <tableColumn id="3" xr3:uid="{B44C2648-2DAC-1143-9FF1-C9C5E2418385}" name="Column2" headerRowDxfId="145" dataDxfId="144"/>
    <tableColumn id="4" xr3:uid="{AA48577A-4F27-784C-9C5F-7422386EC491}" name="Column3" headerRowDxfId="143" dataDxfId="142"/>
    <tableColumn id="5" xr3:uid="{9C3EBE58-A569-414E-AB51-1D41131DFA09}" name="Column4" headerRowDxfId="141" dataDxfId="140"/>
    <tableColumn id="6" xr3:uid="{C37D6080-CF3D-AD45-BA54-107A3D9B2ECB}" name="Column5" headerRowDxfId="139" dataDxfId="138"/>
    <tableColumn id="7" xr3:uid="{8824F953-F1A1-CE46-9AA4-E370F395EEF5}" name="Column6" headerRowDxfId="137" dataDxfId="13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646810D-BCEB-4946-9B69-C35A74A2A48B}" name="Table14" displayName="Table14" ref="A26:B29" headerRowCount="0" totalsRowShown="0">
  <tableColumns count="2">
    <tableColumn id="1" xr3:uid="{DC277426-CC2A-CC46-8B6C-D4CB72B43269}" name="Column1" headerRowDxfId="135" dataDxfId="134"/>
    <tableColumn id="2" xr3:uid="{B07B103D-11AF-5F4F-9C3B-16285F23A867}" name="Column2" headerRowDxfId="13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434D8A-C9DB-4246-8A85-FAC9016A5691}" name="Table15" displayName="Table15" ref="A33:B36" headerRowCount="0" totalsRowShown="0">
  <tableColumns count="2">
    <tableColumn id="1" xr3:uid="{C51FDEF5-F21A-BA41-AF59-D0C79AEF258D}" name="Column1" headerRowDxfId="132" dataDxfId="131"/>
    <tableColumn id="2" xr3:uid="{38F288A5-03B5-DE48-814C-CEE580DD1E79}" name="Column2" headerRowDxfId="130" dataDxfId="129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AB23356-A8ED-7A40-ACB3-C74154CFE562}" name="Table16" displayName="Table16" ref="A39:B42" headerRowCount="0" totalsRowShown="0">
  <tableColumns count="2">
    <tableColumn id="1" xr3:uid="{90D0289C-4B70-3B44-96CC-3B5F84D2E8C6}" name="Column1" headerRowDxfId="128" dataDxfId="127"/>
    <tableColumn id="2" xr3:uid="{59723348-5F9B-9343-B854-E8D5931242AB}" name="Column2" headerRowDxfId="126" dataDxfId="125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622D43D-363E-DE41-94D9-967FC4264E86}" name="Table17" displayName="Table17" ref="A47:B50" headerRowCount="0" totalsRowShown="0">
  <tableColumns count="2">
    <tableColumn id="1" xr3:uid="{89532BEF-9D3A-334A-9C43-CD33AF41A3E0}" name="Column1" headerRowDxfId="124" dataDxfId="123"/>
    <tableColumn id="2" xr3:uid="{456684B4-B6A8-664F-8848-B6B4B4A2912F}" name="Column2" headerRowDxfId="122" dataDxfId="121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B5A4314-4A9A-0746-BA9B-417BC8455018}" name="Table19" displayName="Table19" ref="A6:D9" headerRowCount="0" totalsRowShown="0" headerRowDxfId="120" dataDxfId="119">
  <tableColumns count="4">
    <tableColumn id="1" xr3:uid="{EC6239CA-3AC3-6C4E-92FB-DF6E74DDA088}" name="Column1" headerRowDxfId="118" dataDxfId="117"/>
    <tableColumn id="2" xr3:uid="{E812B677-5C8F-4C4A-9940-D8E18AA4FF86}" name="Column2" headerRowDxfId="116" dataDxfId="115"/>
    <tableColumn id="3" xr3:uid="{4ABCF25F-CD45-B64F-B8C9-21A800B2EB04}" name="Column3" headerRowDxfId="114" dataDxfId="113"/>
    <tableColumn id="4" xr3:uid="{9D008AB4-553A-B442-971F-64B4FAB2820E}" name="Column4" headerRowDxfId="112" dataDxfId="111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61B09C8-C86E-DC4B-8D3D-B63547146A56}" name="Table20" displayName="Table20" ref="A3:B7" headerRowCount="0" totalsRowShown="0" headerRowDxfId="110" dataDxfId="109">
  <tableColumns count="2">
    <tableColumn id="1" xr3:uid="{47DE4EFF-74E5-0D4E-BB87-0C98DE9434CC}" name="Column1" headerRowDxfId="108" dataDxfId="107"/>
    <tableColumn id="2" xr3:uid="{25A2BDC9-750E-4445-824A-04CBE0BD64BF}" name="Column2" headerRowDxfId="106" dataDxfId="10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D26B23D-6976-B846-B0A3-6CAB6E1A9D0B}" name="Table21" displayName="Table21" ref="A10:B10" headerRowCount="0" totalsRowShown="0" headerRowDxfId="104" dataDxfId="103">
  <tableColumns count="2">
    <tableColumn id="1" xr3:uid="{FD4D880B-8124-A148-B94F-B0A90E5440ED}" name="Column1" headerRowDxfId="102" dataDxfId="101"/>
    <tableColumn id="2" xr3:uid="{68BEF85E-8201-E24C-8B3E-F2918E215B75}" name="Column2" headerRowDxfId="100" dataDxfId="9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E218EE5-BBD9-BD41-8194-54B1945D313B}" name="Table22" displayName="Table22" ref="A15:B19" headerRowCount="0" totalsRowShown="0" headerRowDxfId="98" dataDxfId="97">
  <tableColumns count="2">
    <tableColumn id="1" xr3:uid="{53165C52-139D-EA42-B631-896A26C0EA36}" name="Column1" headerRowDxfId="96" dataDxfId="95"/>
    <tableColumn id="2" xr3:uid="{CA872EAB-946B-3143-B7FC-F7336F470706}" name="Column2" headerRowDxfId="94" dataDxfId="9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A29AE42-5461-F44C-9AA2-6FA00A292AD4}" name="Table23" displayName="Table23" ref="A23:B24" headerRowCount="0" totalsRowShown="0" headerRowDxfId="92" dataDxfId="91">
  <tableColumns count="2">
    <tableColumn id="1" xr3:uid="{2DA28E4B-F6A3-D640-AEDF-738DC6FD1A51}" name="Column1" headerRowDxfId="90" dataDxfId="89"/>
    <tableColumn id="2" xr3:uid="{178DD565-11A4-0648-8AB2-665E0933BBC2}" name="Column2" headerRowDxfId="88" dataDxfId="87"/>
  </tableColumns>
  <tableStyleInfo name="TableStyleLight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CD5240E-AC0D-AE49-9FC5-1D393C7728C0}" name="Table24" displayName="Table24" ref="A28:D30" totalsRowShown="0" headerRowDxfId="86" dataDxfId="85">
  <autoFilter ref="A28:D30" xr:uid="{CCD5240E-AC0D-AE49-9FC5-1D393C7728C0}"/>
  <tableColumns count="4">
    <tableColumn id="1" xr3:uid="{F4837003-991F-E94A-AC2C-C7589613A910}" name="Valuation Method" dataDxfId="84"/>
    <tableColumn id="2" xr3:uid="{EBEC2CBB-18A1-0748-BA41-7ED71ADAE8CF}" name="Low" dataDxfId="83"/>
    <tableColumn id="3" xr3:uid="{D76BD8C6-A804-0444-A526-03C7F916B611}" name="Median" dataDxfId="82"/>
    <tableColumn id="4" xr3:uid="{9DDE2CE7-B54C-154D-97BE-5E0EED258FFB}" name="High" dataDxfId="81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92813DB-010A-FD4A-8E70-64E5B1336E7F}" name="Table25" displayName="Table25" ref="A2:B6" totalsRowShown="0" headerRowDxfId="80" dataDxfId="79">
  <autoFilter ref="A2:B6" xr:uid="{A92813DB-010A-FD4A-8E70-64E5B1336E7F}"/>
  <tableColumns count="2">
    <tableColumn id="1" xr3:uid="{58BF62D3-4F08-324E-9606-5903F18CB5E4}" name="Input" dataDxfId="78"/>
    <tableColumn id="2" xr3:uid="{CEAF4B49-A364-3A41-A465-E5D4E5126457}" name="Value" dataDxfId="77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FC4938B-70F4-104A-8287-7E6D3D456BD1}" name="Table26" displayName="Table26" ref="A10:C13" headerRowCount="0" totalsRowShown="0">
  <tableColumns count="3">
    <tableColumn id="1" xr3:uid="{46680D3D-F90F-F44B-BED2-4CB07897A7D4}" name="Enterprise Value Implied by Multiples" headerRowDxfId="76" dataDxfId="75"/>
    <tableColumn id="2" xr3:uid="{4B73CD1C-35C3-BB44-81C0-7B64E0C0975D}" name="Column1" headerRowDxfId="74" dataDxfId="73"/>
    <tableColumn id="3" xr3:uid="{18E5CC6A-E55B-294E-B271-53E23455F35A}" name="Column2" headerRowDxfId="72" dataDxfId="71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60986CD-BEA8-D641-8E61-1A57302BB28F}" name="Table27" displayName="Table27" ref="A18:D21" headerRowCount="0" totalsRowShown="0" headerRowDxfId="70" dataDxfId="69">
  <tableColumns count="4">
    <tableColumn id="1" xr3:uid="{4063A54E-386D-974B-B177-E8802ED6FD7A}" name="Column1" headerRowDxfId="68" dataDxfId="67"/>
    <tableColumn id="2" xr3:uid="{C5409AD9-4216-1640-9CBA-7ACCA2FE506B}" name="Column2" headerRowDxfId="66" dataDxfId="65"/>
    <tableColumn id="3" xr3:uid="{CE4503F1-D0BA-3346-9CD4-7D920230FB42}" name="Column3" headerRowDxfId="64" dataDxfId="63"/>
    <tableColumn id="4" xr3:uid="{EDEB6197-A2D6-5A44-8157-346C89E3C9A8}" name="Column4" headerRowDxfId="62" dataDxfId="61"/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EDE4C60-D4BA-1848-B087-81B4C53E599F}" name="Table28" displayName="Table28" ref="A27:D30" headerRowCount="0" totalsRowShown="0" headerRowDxfId="60">
  <tableColumns count="4">
    <tableColumn id="1" xr3:uid="{3E33664C-D68C-6943-B277-81CF106D48F3}" name="Column1" headerRowDxfId="59" dataDxfId="58"/>
    <tableColumn id="2" xr3:uid="{C5666D25-48F8-CB4E-9654-AD4EAA423AB7}" name="Column2" headerRowDxfId="57" dataDxfId="56"/>
    <tableColumn id="3" xr3:uid="{01F92583-1061-9247-815B-972FEDB3B6DF}" name="Column3" headerRowDxfId="55" dataDxfId="54"/>
    <tableColumn id="4" xr3:uid="{DE1E9017-5440-8644-91F5-608224B8BC94}" name="Column4" headerRowDxfId="53" dataDxfId="52"/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9EF21B-37D9-F04B-BC16-391B2B0A2BC4}" name="Table29" displayName="Table29" ref="A3:F8" headerRowCount="0" totalsRowShown="0" headerRowDxfId="51" dataDxfId="50">
  <tableColumns count="6">
    <tableColumn id="1" xr3:uid="{4CF0FB0D-C814-3C40-BA88-A6D7788EDCA3}" name="Column1" headerRowDxfId="49" dataDxfId="48"/>
    <tableColumn id="2" xr3:uid="{0658C22A-E80E-BF49-B00A-37FE8C80CA30}" name="Column2" headerRowDxfId="47" dataDxfId="46"/>
    <tableColumn id="3" xr3:uid="{35101898-719A-1948-B54E-C6C5506C34B0}" name="Column3" headerRowDxfId="45" dataDxfId="44"/>
    <tableColumn id="4" xr3:uid="{C1A235AF-C5B1-7E4B-BE90-E2D4AD889CEF}" name="Column4" headerRowDxfId="43" dataDxfId="42"/>
    <tableColumn id="5" xr3:uid="{4797A1B5-71AB-7E45-A42E-FCFFA512C2C4}" name="Column5" headerRowDxfId="41" dataDxfId="40"/>
    <tableColumn id="6" xr3:uid="{EE67CF6B-2E6E-7341-BD6B-9124FB8FC0C1}" name="Column6" headerRowDxfId="39" dataDxfId="38"/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B9FA801-33C0-1548-AACB-81269C05D5BD}" name="Table30" displayName="Table30" ref="A14:B17" headerRowCount="0" totalsRowShown="0" headerRowDxfId="37" dataDxfId="36">
  <tableColumns count="2">
    <tableColumn id="1" xr3:uid="{E52D5906-8FA4-024C-A764-7A71DBFA93DB}" name="Column1" headerRowDxfId="35" dataDxfId="34"/>
    <tableColumn id="2" xr3:uid="{F56C1F59-7571-4C46-910D-F7B1D74E3389}" name="Column2" headerRowDxfId="33" dataDxfId="32"/>
  </tableColumns>
  <tableStyleInfo name="TableStyleLight2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B05E67B-2A38-AB47-B262-CF77B01284EF}" name="Table31" displayName="Table31" ref="A4:B7" headerRowCount="0" totalsRowShown="0" headerRowDxfId="31" dataDxfId="30">
  <tableColumns count="2">
    <tableColumn id="1" xr3:uid="{0BD4CCD1-D5F1-A949-A774-621970785B7E}" name="Column1" headerRowDxfId="29" dataDxfId="28"/>
    <tableColumn id="2" xr3:uid="{165024E3-0321-0746-A844-1DA2B04C1C02}" name="Column2" headerRowDxfId="27" dataDxfId="26"/>
  </tableColumns>
  <tableStyleInfo name="TableStyleLight2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1CCE77C-BC58-0D4D-B05D-E762F9A31122}" name="Table32" displayName="Table32" ref="A13:C16" headerRowCount="0" totalsRowShown="0" headerRowDxfId="25">
  <tableColumns count="3">
    <tableColumn id="1" xr3:uid="{253A0F8B-957A-6440-9DFF-535AF66D19AB}" name="Column1" headerRowDxfId="24" dataDxfId="23"/>
    <tableColumn id="2" xr3:uid="{A03CD7E6-8FC6-7047-A6CE-C1A99248F345}" name="Column2" headerRowDxfId="22" dataDxfId="21"/>
    <tableColumn id="3" xr3:uid="{63D41EE0-FED8-714F-BCAE-4AB8D5AA257C}" name="Column3" headerRowDxfId="20" dataDxfId="1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1B9C0E8-CD29-8C49-B663-B3D2D7808905}" name="Table33" displayName="Table33" ref="A23:D26" headerRowCount="0" totalsRowShown="0" headerRowDxfId="18" dataDxfId="17">
  <tableColumns count="4">
    <tableColumn id="1" xr3:uid="{02807FE0-17FE-4540-ABA0-3C6521B90865}" name="Column1" headerRowDxfId="16" dataDxfId="15"/>
    <tableColumn id="2" xr3:uid="{04474871-F9CA-8047-898E-A1753828A402}" name="Column2" headerRowDxfId="14" dataDxfId="13"/>
    <tableColumn id="3" xr3:uid="{522B3E38-B9B7-1E45-B9F8-6C1136078861}" name="Column3" headerRowDxfId="12" dataDxfId="11"/>
    <tableColumn id="4" xr3:uid="{4B978748-00B8-9346-B324-3AFF0A98D594}" name="Column4" headerRowDxfId="10" dataDxfId="9"/>
  </tableColumns>
  <tableStyleInfo name="TableStyleLight2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756156A-661D-5D4F-AF08-B06DA322F40E}" name="Table35" displayName="Table35" ref="A32:D35" headerRowCount="0" totalsRowShown="0" headerRowDxfId="8">
  <tableColumns count="4">
    <tableColumn id="1" xr3:uid="{4B13B91E-AF8E-CA41-945E-D2283D7210F4}" name="Column1" headerRowDxfId="7" dataDxfId="6"/>
    <tableColumn id="2" xr3:uid="{0C126849-BEAE-9B44-9343-000BF449D354}" name="Column2" headerRowDxfId="5" dataDxfId="4"/>
    <tableColumn id="3" xr3:uid="{C63D87E4-3BEB-8E41-AEC8-88EB581F4495}" name="Column3" headerRowDxfId="3" dataDxfId="2"/>
    <tableColumn id="4" xr3:uid="{99988FEE-EF3E-6C44-A0C6-B72E0645FFB9}" name="Column4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4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29"/>
  <sheetViews>
    <sheetView workbookViewId="0">
      <selection activeCell="E8" sqref="E8"/>
    </sheetView>
  </sheetViews>
  <sheetFormatPr defaultColWidth="12.7109375" defaultRowHeight="15.75" customHeight="1"/>
  <cols>
    <col min="1" max="1" width="43.140625" customWidth="1"/>
    <col min="2" max="2" width="38.7109375" customWidth="1"/>
  </cols>
  <sheetData>
    <row r="2" spans="1:6" ht="15.75" customHeight="1">
      <c r="A2" s="3" t="s">
        <v>0</v>
      </c>
      <c r="B2" s="3" t="s">
        <v>1</v>
      </c>
      <c r="C2" s="14"/>
      <c r="D2" s="14"/>
      <c r="E2" s="14"/>
      <c r="F2" s="14"/>
    </row>
    <row r="3" spans="1:6" ht="15.75" customHeight="1">
      <c r="A3" s="1" t="s">
        <v>2</v>
      </c>
      <c r="B3" s="1" t="s">
        <v>3</v>
      </c>
      <c r="C3" s="14"/>
      <c r="D3" s="14"/>
      <c r="E3" s="14"/>
      <c r="F3" s="14"/>
    </row>
    <row r="4" spans="1:6" ht="15.75" customHeight="1">
      <c r="A4" s="1" t="s">
        <v>4</v>
      </c>
      <c r="B4" s="1" t="s">
        <v>5</v>
      </c>
      <c r="C4" s="14"/>
      <c r="D4" s="14"/>
      <c r="E4" s="14"/>
      <c r="F4" s="14"/>
    </row>
    <row r="5" spans="1:6" ht="15.75" customHeight="1">
      <c r="A5" s="1" t="s">
        <v>6</v>
      </c>
      <c r="B5" s="1" t="s">
        <v>7</v>
      </c>
      <c r="C5" s="14"/>
      <c r="D5" s="14"/>
      <c r="E5" s="14"/>
      <c r="F5" s="14"/>
    </row>
    <row r="6" spans="1:6" ht="15.75" customHeight="1">
      <c r="A6" s="1" t="s">
        <v>8</v>
      </c>
      <c r="B6" s="1" t="s">
        <v>9</v>
      </c>
      <c r="C6" s="14"/>
      <c r="D6" s="14"/>
      <c r="E6" s="14"/>
      <c r="F6" s="14"/>
    </row>
    <row r="7" spans="1:6" ht="15.75" customHeight="1">
      <c r="A7" s="1" t="s">
        <v>10</v>
      </c>
      <c r="B7" s="1" t="s">
        <v>11</v>
      </c>
      <c r="C7" s="14"/>
      <c r="D7" s="14"/>
      <c r="E7" s="14"/>
      <c r="F7" s="14"/>
    </row>
    <row r="8" spans="1:6" ht="15.75" customHeight="1">
      <c r="A8" s="14"/>
      <c r="B8" s="2"/>
      <c r="C8" s="14"/>
      <c r="D8" s="14"/>
      <c r="E8" s="14"/>
      <c r="F8" s="14"/>
    </row>
    <row r="9" spans="1:6" ht="15.75" customHeight="1">
      <c r="A9" s="15" t="s">
        <v>12</v>
      </c>
      <c r="B9" s="14"/>
      <c r="C9" s="14"/>
      <c r="D9" s="14"/>
      <c r="E9" s="14"/>
      <c r="F9" s="14"/>
    </row>
    <row r="10" spans="1:6" ht="15.75" customHeight="1">
      <c r="A10" s="3" t="s">
        <v>12</v>
      </c>
      <c r="B10" s="3" t="s">
        <v>13</v>
      </c>
      <c r="C10" s="14"/>
      <c r="D10" s="14"/>
      <c r="E10" s="14"/>
      <c r="F10" s="14"/>
    </row>
    <row r="11" spans="1:6" ht="15.75" customHeight="1">
      <c r="A11" s="15" t="s">
        <v>14</v>
      </c>
      <c r="B11" s="16">
        <v>6.5500000000000003E-2</v>
      </c>
      <c r="C11" s="14"/>
      <c r="D11" s="14"/>
      <c r="E11" s="14"/>
      <c r="F11" s="14"/>
    </row>
    <row r="12" spans="1:6" ht="15.75" customHeight="1">
      <c r="A12" s="15" t="s">
        <v>15</v>
      </c>
      <c r="B12" s="16">
        <v>2.2499999999999999E-2</v>
      </c>
      <c r="C12" s="14"/>
      <c r="D12" s="14"/>
      <c r="E12" s="14"/>
      <c r="F12" s="14"/>
    </row>
    <row r="13" spans="1:6" ht="15.75" customHeight="1">
      <c r="A13" s="15" t="s">
        <v>16</v>
      </c>
      <c r="B13" s="15" t="s">
        <v>17</v>
      </c>
      <c r="C13" s="14"/>
      <c r="D13" s="14"/>
      <c r="E13" s="14"/>
      <c r="F13" s="14"/>
    </row>
    <row r="14" spans="1:6" ht="15.75" customHeight="1">
      <c r="A14" s="15" t="s">
        <v>18</v>
      </c>
      <c r="B14" s="15" t="s">
        <v>19</v>
      </c>
      <c r="C14" s="14"/>
      <c r="D14" s="14"/>
      <c r="E14" s="14"/>
      <c r="F14" s="14"/>
    </row>
    <row r="15" spans="1:6" ht="15.75" customHeight="1">
      <c r="A15" s="14"/>
      <c r="B15" s="14"/>
      <c r="C15" s="14"/>
      <c r="D15" s="14"/>
      <c r="E15" s="14"/>
      <c r="F15" s="14"/>
    </row>
    <row r="16" spans="1:6" ht="15.75" customHeight="1">
      <c r="A16" s="14"/>
      <c r="B16" s="14"/>
      <c r="C16" s="14"/>
      <c r="D16" s="14"/>
      <c r="E16" s="14"/>
      <c r="F16" s="14"/>
    </row>
    <row r="17" spans="1:6" ht="15.75" customHeight="1">
      <c r="A17" s="15"/>
      <c r="B17" s="14"/>
      <c r="C17" s="14"/>
      <c r="D17" s="14"/>
      <c r="E17" s="14"/>
      <c r="F17" s="14"/>
    </row>
    <row r="18" spans="1:6" ht="15.95">
      <c r="A18" s="15" t="s">
        <v>20</v>
      </c>
      <c r="B18" s="14"/>
      <c r="C18" s="14"/>
      <c r="D18" s="14"/>
      <c r="E18" s="14"/>
      <c r="F18" s="14"/>
    </row>
    <row r="19" spans="1:6" ht="15.95">
      <c r="A19" s="3" t="s">
        <v>21</v>
      </c>
      <c r="B19" s="3" t="s">
        <v>22</v>
      </c>
      <c r="C19" s="14"/>
      <c r="D19" s="14"/>
      <c r="E19" s="14"/>
      <c r="F19" s="14"/>
    </row>
    <row r="20" spans="1:6" ht="15.95">
      <c r="A20" s="15" t="s">
        <v>23</v>
      </c>
      <c r="B20" s="17">
        <v>89</v>
      </c>
      <c r="C20" s="14"/>
      <c r="D20" s="14"/>
      <c r="E20" s="14"/>
      <c r="F20" s="14"/>
    </row>
    <row r="21" spans="1:6" ht="15.95">
      <c r="A21" s="15" t="s">
        <v>24</v>
      </c>
      <c r="B21" s="15" t="s">
        <v>25</v>
      </c>
      <c r="C21" s="14"/>
      <c r="D21" s="14"/>
      <c r="E21" s="14"/>
      <c r="F21" s="14"/>
    </row>
    <row r="22" spans="1:6" ht="15.95">
      <c r="A22" s="15" t="s">
        <v>26</v>
      </c>
      <c r="B22" s="15" t="s">
        <v>27</v>
      </c>
      <c r="C22" s="14"/>
      <c r="D22" s="14"/>
      <c r="E22" s="14"/>
      <c r="F22" s="14"/>
    </row>
    <row r="23" spans="1:6" ht="15.95">
      <c r="A23" s="15" t="s">
        <v>28</v>
      </c>
      <c r="B23" s="18">
        <v>30.3</v>
      </c>
      <c r="C23" s="14"/>
      <c r="D23" s="14"/>
      <c r="E23" s="14"/>
      <c r="F23" s="14"/>
    </row>
    <row r="24" spans="1:6" ht="15.75" customHeight="1">
      <c r="A24" s="14"/>
      <c r="B24" s="14"/>
      <c r="C24" s="14"/>
      <c r="D24" s="14"/>
      <c r="E24" s="14"/>
      <c r="F24" s="14"/>
    </row>
    <row r="25" spans="1:6" ht="15.75" customHeight="1">
      <c r="A25" s="15" t="s">
        <v>29</v>
      </c>
      <c r="B25" s="14"/>
      <c r="C25" s="14"/>
      <c r="D25" s="14"/>
      <c r="E25" s="14"/>
      <c r="F25" s="14"/>
    </row>
    <row r="26" spans="1:6" ht="15.75" customHeight="1">
      <c r="A26" s="15" t="s">
        <v>30</v>
      </c>
      <c r="B26" s="19"/>
      <c r="C26" s="14"/>
      <c r="D26" s="14"/>
      <c r="E26" s="14"/>
      <c r="F26" s="14"/>
    </row>
    <row r="27" spans="1:6" ht="15.75" customHeight="1">
      <c r="A27" s="15" t="s">
        <v>31</v>
      </c>
      <c r="B27" s="19"/>
      <c r="C27" s="14"/>
      <c r="D27" s="14"/>
      <c r="E27" s="14"/>
      <c r="F27" s="14"/>
    </row>
    <row r="28" spans="1:6" ht="15.75" customHeight="1">
      <c r="A28" s="15" t="s">
        <v>32</v>
      </c>
      <c r="B28" s="19"/>
      <c r="C28" s="14"/>
      <c r="D28" s="14"/>
      <c r="E28" s="14"/>
      <c r="F28" s="14"/>
    </row>
    <row r="29" spans="1:6" ht="15.75" customHeight="1">
      <c r="A29" s="14"/>
      <c r="B29" s="14"/>
      <c r="C29" s="14"/>
      <c r="D29" s="14"/>
      <c r="E29" s="14"/>
      <c r="F29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33"/>
  <sheetViews>
    <sheetView zoomScale="126" workbookViewId="0">
      <selection activeCell="E11" sqref="E11"/>
    </sheetView>
  </sheetViews>
  <sheetFormatPr defaultColWidth="12.7109375" defaultRowHeight="15.75" customHeight="1"/>
  <cols>
    <col min="1" max="1" width="37.140625" customWidth="1"/>
    <col min="2" max="2" width="26" customWidth="1"/>
  </cols>
  <sheetData>
    <row r="2" spans="1:3">
      <c r="A2" s="1"/>
      <c r="B2" s="1"/>
      <c r="C2" s="1"/>
    </row>
    <row r="3" spans="1:3">
      <c r="A3" s="1" t="s">
        <v>33</v>
      </c>
      <c r="B3" s="1" t="s">
        <v>1</v>
      </c>
      <c r="C3" s="1"/>
    </row>
    <row r="4" spans="1:3">
      <c r="A4" s="1"/>
      <c r="B4" s="1"/>
      <c r="C4" s="1"/>
    </row>
    <row r="5" spans="1:3">
      <c r="A5" s="1" t="s">
        <v>34</v>
      </c>
      <c r="B5" s="2">
        <v>4.4999999999999998E-2</v>
      </c>
      <c r="C5" s="1"/>
    </row>
    <row r="6" spans="1:3">
      <c r="A6" s="1" t="s">
        <v>35</v>
      </c>
      <c r="B6" s="1" t="s">
        <v>36</v>
      </c>
      <c r="C6" s="1"/>
    </row>
    <row r="7" spans="1:3">
      <c r="A7" s="1" t="s">
        <v>37</v>
      </c>
      <c r="B7" s="10">
        <v>0.1</v>
      </c>
      <c r="C7" s="1"/>
    </row>
    <row r="8" spans="1:3">
      <c r="A8" s="1" t="s">
        <v>38</v>
      </c>
      <c r="B8" s="1" t="s">
        <v>39</v>
      </c>
      <c r="C8" s="1"/>
    </row>
    <row r="9" spans="1:3">
      <c r="A9" s="1" t="s">
        <v>40</v>
      </c>
      <c r="B9" s="2">
        <v>5.0000000000000001E-3</v>
      </c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 t="s">
        <v>41</v>
      </c>
      <c r="B13" s="1" t="s">
        <v>42</v>
      </c>
      <c r="C13" s="1"/>
    </row>
    <row r="14" spans="1:3">
      <c r="A14" s="1" t="s">
        <v>43</v>
      </c>
      <c r="B14" s="2">
        <v>6.5500000000000003E-2</v>
      </c>
      <c r="C14" s="1"/>
    </row>
    <row r="15" spans="1:3">
      <c r="A15" s="1" t="s">
        <v>15</v>
      </c>
      <c r="B15" s="1"/>
      <c r="C15" s="1"/>
    </row>
    <row r="16" spans="1:3">
      <c r="A16" s="1" t="s">
        <v>44</v>
      </c>
      <c r="B16" s="1" t="s">
        <v>17</v>
      </c>
      <c r="C16" s="1"/>
    </row>
    <row r="17" spans="1:3">
      <c r="A17" s="1" t="s">
        <v>45</v>
      </c>
      <c r="B17" s="1" t="s">
        <v>46</v>
      </c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 t="s">
        <v>47</v>
      </c>
      <c r="B20" s="1" t="s">
        <v>1</v>
      </c>
      <c r="C20" s="1"/>
    </row>
    <row r="21" spans="1:3">
      <c r="A21" s="1" t="s">
        <v>48</v>
      </c>
      <c r="B21" s="1">
        <v>16200</v>
      </c>
      <c r="C21" s="1"/>
    </row>
    <row r="22" spans="1:3">
      <c r="A22" s="1" t="s">
        <v>49</v>
      </c>
      <c r="B22" s="1">
        <v>407</v>
      </c>
      <c r="C22" s="1"/>
    </row>
    <row r="23" spans="1:3">
      <c r="A23" s="1" t="s">
        <v>50</v>
      </c>
      <c r="B23" s="1">
        <v>36232.400000000001</v>
      </c>
      <c r="C23" s="1"/>
    </row>
    <row r="24" spans="1:3">
      <c r="A24" s="1"/>
      <c r="B24" s="1"/>
      <c r="C24" s="1"/>
    </row>
    <row r="25" spans="1:3">
      <c r="A25" s="1" t="s">
        <v>51</v>
      </c>
      <c r="B25" s="1" t="s">
        <v>1</v>
      </c>
      <c r="C25" s="1"/>
    </row>
    <row r="26" spans="1:3">
      <c r="A26" s="1" t="s">
        <v>10</v>
      </c>
      <c r="B26" s="1" t="s">
        <v>52</v>
      </c>
      <c r="C26" s="1"/>
    </row>
    <row r="27" spans="1:3">
      <c r="A27" s="1" t="s">
        <v>53</v>
      </c>
      <c r="B27" s="1" t="s">
        <v>54</v>
      </c>
      <c r="C27" s="1"/>
    </row>
    <row r="28" spans="1:3">
      <c r="A28" s="1" t="s">
        <v>55</v>
      </c>
      <c r="B28" s="1" t="s">
        <v>56</v>
      </c>
      <c r="C28" s="1"/>
    </row>
    <row r="29" spans="1:3">
      <c r="A29" s="1" t="s">
        <v>57</v>
      </c>
      <c r="B29" s="1" t="s">
        <v>58</v>
      </c>
      <c r="C29" s="1"/>
    </row>
    <row r="30" spans="1:3">
      <c r="A30" s="1" t="s">
        <v>59</v>
      </c>
      <c r="B30" s="1" t="s">
        <v>60</v>
      </c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tabSelected="1" workbookViewId="0">
      <selection activeCell="D27" sqref="D27"/>
    </sheetView>
  </sheetViews>
  <sheetFormatPr defaultColWidth="12.7109375" defaultRowHeight="15.75" customHeight="1"/>
  <cols>
    <col min="1" max="1" width="27" customWidth="1"/>
    <col min="2" max="2" width="22.7109375" customWidth="1"/>
    <col min="3" max="3" width="20" customWidth="1"/>
    <col min="4" max="4" width="23.85546875" customWidth="1"/>
    <col min="5" max="5" width="16.42578125" customWidth="1"/>
    <col min="6" max="6" width="21.28515625" customWidth="1"/>
    <col min="7" max="7" width="19.140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1"/>
    </row>
    <row r="4" spans="1:8">
      <c r="A4" s="1" t="s">
        <v>68</v>
      </c>
      <c r="B4" s="4">
        <v>20426</v>
      </c>
      <c r="C4" s="4">
        <f t="shared" ref="C4:G4" si="0">B5*B4+B4</f>
        <v>21406.448</v>
      </c>
      <c r="D4" s="4">
        <f t="shared" si="0"/>
        <v>22433.957504000002</v>
      </c>
      <c r="E4" s="4">
        <f t="shared" si="0"/>
        <v>23510.787464192003</v>
      </c>
      <c r="F4" s="4">
        <f t="shared" si="0"/>
        <v>24545.262112616452</v>
      </c>
      <c r="G4" s="4">
        <f t="shared" si="0"/>
        <v>25527.07259712111</v>
      </c>
      <c r="H4" s="4"/>
    </row>
    <row r="5" spans="1:8">
      <c r="A5" s="1" t="s">
        <v>69</v>
      </c>
      <c r="B5" s="2">
        <v>4.8000000000000001E-2</v>
      </c>
      <c r="C5" s="2">
        <v>4.8000000000000001E-2</v>
      </c>
      <c r="D5" s="2">
        <v>4.8000000000000001E-2</v>
      </c>
      <c r="E5" s="2">
        <v>4.3999999999999997E-2</v>
      </c>
      <c r="F5" s="2">
        <v>0.04</v>
      </c>
      <c r="G5" s="2">
        <v>3.7999999999999999E-2</v>
      </c>
      <c r="H5" s="1"/>
    </row>
    <row r="6" spans="1:8">
      <c r="A6" s="1" t="s">
        <v>70</v>
      </c>
      <c r="B6" s="4">
        <v>5891</v>
      </c>
      <c r="C6" s="4">
        <f t="shared" ref="C6:G6" si="1">C7*C4</f>
        <v>5993.805440000001</v>
      </c>
      <c r="D6" s="4">
        <f t="shared" si="1"/>
        <v>6326.3760161279997</v>
      </c>
      <c r="E6" s="4">
        <f t="shared" si="1"/>
        <v>6677.0636398305278</v>
      </c>
      <c r="F6" s="4">
        <f t="shared" si="1"/>
        <v>6995.3997020956886</v>
      </c>
      <c r="G6" s="4">
        <f t="shared" si="1"/>
        <v>7275.2156901795161</v>
      </c>
      <c r="H6" s="1"/>
    </row>
    <row r="7" spans="1:8">
      <c r="A7" s="1" t="s">
        <v>71</v>
      </c>
      <c r="B7" s="2">
        <v>0.28799999999999998</v>
      </c>
      <c r="C7" s="2">
        <v>0.28000000000000003</v>
      </c>
      <c r="D7" s="2">
        <v>0.28199999999999997</v>
      </c>
      <c r="E7" s="2">
        <v>0.28399999999999997</v>
      </c>
      <c r="F7" s="2">
        <v>0.28499999999999998</v>
      </c>
      <c r="G7" s="2">
        <v>0.28499999999999998</v>
      </c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5" t="s">
        <v>72</v>
      </c>
      <c r="B10" s="16">
        <v>4.5600000000000002E-2</v>
      </c>
      <c r="C10" s="1"/>
      <c r="D10" s="1"/>
      <c r="E10" s="1"/>
      <c r="F10" s="1"/>
      <c r="G10" s="1"/>
      <c r="H10" s="1"/>
    </row>
    <row r="11" spans="1:8">
      <c r="A11" s="15" t="s">
        <v>73</v>
      </c>
      <c r="B11" s="16">
        <v>4.3099999999999999E-2</v>
      </c>
      <c r="C11" s="1"/>
      <c r="D11" s="1"/>
      <c r="E11" s="1"/>
      <c r="F11" s="1"/>
      <c r="G11" s="1"/>
      <c r="H11" s="1"/>
    </row>
    <row r="12" spans="1:8">
      <c r="A12" s="15" t="s">
        <v>74</v>
      </c>
      <c r="B12" s="15" t="s">
        <v>75</v>
      </c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6"/>
  <sheetViews>
    <sheetView workbookViewId="0">
      <selection activeCell="J18" sqref="J18"/>
    </sheetView>
  </sheetViews>
  <sheetFormatPr defaultColWidth="12.7109375" defaultRowHeight="15.75" customHeight="1"/>
  <cols>
    <col min="1" max="1" width="32" customWidth="1"/>
  </cols>
  <sheetData>
    <row r="1" spans="1:26">
      <c r="A1" s="1"/>
      <c r="B1" s="1"/>
      <c r="C1" s="1"/>
      <c r="D1" s="1"/>
      <c r="E1" s="1"/>
      <c r="F1" s="1"/>
      <c r="G1" s="1"/>
      <c r="H1" s="1"/>
    </row>
    <row r="2" spans="1:26">
      <c r="A2" s="1"/>
      <c r="B2" s="1"/>
      <c r="C2" s="1"/>
      <c r="D2" s="1"/>
      <c r="E2" s="1"/>
      <c r="F2" s="1"/>
      <c r="G2" s="1"/>
      <c r="H2" s="1"/>
    </row>
    <row r="3" spans="1:26">
      <c r="A3" s="15" t="s">
        <v>76</v>
      </c>
      <c r="B3" s="1" t="s">
        <v>54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81</v>
      </c>
      <c r="H3" s="1"/>
    </row>
    <row r="4" spans="1:26">
      <c r="A4" s="15" t="s">
        <v>68</v>
      </c>
      <c r="B4" s="4">
        <f>'Operating Projections'!B4</f>
        <v>20426</v>
      </c>
      <c r="C4" s="4">
        <f>'Operating Projections'!C4</f>
        <v>21406.448</v>
      </c>
      <c r="D4" s="4">
        <f>'Operating Projections'!D4</f>
        <v>22433.957504000002</v>
      </c>
      <c r="E4" s="4">
        <f>'Operating Projections'!E4</f>
        <v>23510.787464192003</v>
      </c>
      <c r="F4" s="4">
        <f>'Operating Projections'!F4</f>
        <v>24545.262112616452</v>
      </c>
      <c r="G4" s="4">
        <f>'Operating Projections'!G4</f>
        <v>25527.07259712111</v>
      </c>
      <c r="H4" s="1"/>
    </row>
    <row r="5" spans="1:26">
      <c r="A5" s="15" t="s">
        <v>70</v>
      </c>
      <c r="B5" s="4">
        <f>'Operating Projections'!B6</f>
        <v>5891</v>
      </c>
      <c r="C5" s="4">
        <f>'Operating Projections'!C6</f>
        <v>5993.805440000001</v>
      </c>
      <c r="D5" s="4">
        <f>'Operating Projections'!D6</f>
        <v>6326.3760161279997</v>
      </c>
      <c r="E5" s="4">
        <f>'Operating Projections'!E6</f>
        <v>6677.0636398305278</v>
      </c>
      <c r="F5" s="4">
        <f>'Operating Projections'!F6</f>
        <v>6995.3997020956886</v>
      </c>
      <c r="G5" s="4">
        <f>'Operating Projections'!G6</f>
        <v>7275.2156901795161</v>
      </c>
      <c r="H5" s="1"/>
    </row>
    <row r="6" spans="1:26">
      <c r="A6" s="15" t="s">
        <v>82</v>
      </c>
      <c r="B6" s="5">
        <f t="shared" ref="B6:G6" si="0">B5-B11</f>
        <v>3848.3999999999996</v>
      </c>
      <c r="C6" s="5">
        <f t="shared" si="0"/>
        <v>3853.160640000001</v>
      </c>
      <c r="D6" s="5">
        <f t="shared" si="0"/>
        <v>4082.9802657279993</v>
      </c>
      <c r="E6" s="5">
        <f t="shared" si="0"/>
        <v>4325.984893411327</v>
      </c>
      <c r="F6" s="5">
        <f t="shared" si="0"/>
        <v>4540.873490834043</v>
      </c>
      <c r="G6" s="5">
        <f t="shared" si="0"/>
        <v>4722.5084304674047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5" t="s">
        <v>83</v>
      </c>
      <c r="B7" s="2">
        <v>0.24</v>
      </c>
      <c r="C7" s="2">
        <v>0.24</v>
      </c>
      <c r="D7" s="2">
        <v>0.24</v>
      </c>
      <c r="E7" s="2">
        <v>0.24</v>
      </c>
      <c r="F7" s="2">
        <v>0.24</v>
      </c>
      <c r="G7" s="2">
        <v>0.24</v>
      </c>
      <c r="H7" s="1"/>
    </row>
    <row r="8" spans="1:26">
      <c r="A8" s="15" t="s">
        <v>84</v>
      </c>
      <c r="B8" s="5">
        <f t="shared" ref="B8:G8" si="1">B7*B6</f>
        <v>923.61599999999987</v>
      </c>
      <c r="C8" s="5">
        <f t="shared" si="1"/>
        <v>924.75855360000014</v>
      </c>
      <c r="D8" s="5">
        <f t="shared" si="1"/>
        <v>979.91526377471973</v>
      </c>
      <c r="E8" s="5">
        <f t="shared" si="1"/>
        <v>1038.2363744187185</v>
      </c>
      <c r="F8" s="5">
        <f t="shared" si="1"/>
        <v>1089.8096378001703</v>
      </c>
      <c r="G8" s="5">
        <f t="shared" si="1"/>
        <v>1133.4020233121771</v>
      </c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5" t="s">
        <v>85</v>
      </c>
      <c r="B9" s="5">
        <f t="shared" ref="B9:G9" si="2">B6-B8</f>
        <v>2924.7839999999997</v>
      </c>
      <c r="C9" s="5">
        <f t="shared" si="2"/>
        <v>2928.4020864000008</v>
      </c>
      <c r="D9" s="5">
        <f t="shared" si="2"/>
        <v>3103.0650019532795</v>
      </c>
      <c r="E9" s="5">
        <f t="shared" si="2"/>
        <v>3287.7485189926083</v>
      </c>
      <c r="F9" s="5">
        <f t="shared" si="2"/>
        <v>3451.0638530338729</v>
      </c>
      <c r="G9" s="5">
        <f t="shared" si="2"/>
        <v>3589.1064071552273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5" t="s">
        <v>86</v>
      </c>
      <c r="B10" s="2">
        <v>0.1</v>
      </c>
      <c r="C10" s="2">
        <v>0.1</v>
      </c>
      <c r="D10" s="2">
        <v>0.1</v>
      </c>
      <c r="E10" s="2">
        <v>0.1</v>
      </c>
      <c r="F10" s="2">
        <v>0.1</v>
      </c>
      <c r="G10" s="2">
        <v>0.1</v>
      </c>
      <c r="H10" s="1"/>
    </row>
    <row r="11" spans="1:26">
      <c r="A11" s="15" t="s">
        <v>87</v>
      </c>
      <c r="B11" s="8">
        <f t="shared" ref="B11:G11" si="3">B10*B4</f>
        <v>2042.6000000000001</v>
      </c>
      <c r="C11" s="8">
        <f t="shared" si="3"/>
        <v>2140.6448</v>
      </c>
      <c r="D11" s="8">
        <f t="shared" si="3"/>
        <v>2243.3957504000005</v>
      </c>
      <c r="E11" s="8">
        <f t="shared" si="3"/>
        <v>2351.0787464192003</v>
      </c>
      <c r="F11" s="8">
        <f t="shared" si="3"/>
        <v>2454.5262112616451</v>
      </c>
      <c r="G11" s="8">
        <f t="shared" si="3"/>
        <v>2552.7072597121114</v>
      </c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5" t="s">
        <v>88</v>
      </c>
      <c r="B12" s="2">
        <v>0.14000000000000001</v>
      </c>
      <c r="C12" s="2">
        <v>0.14000000000000001</v>
      </c>
      <c r="D12" s="2">
        <v>0.13800000000000001</v>
      </c>
      <c r="E12" s="2">
        <v>0.13500000000000001</v>
      </c>
      <c r="F12" s="2">
        <v>0.13500000000000001</v>
      </c>
      <c r="G12" s="2">
        <v>0.13500000000000001</v>
      </c>
      <c r="H12" s="1"/>
    </row>
    <row r="13" spans="1:26">
      <c r="A13" s="15" t="s">
        <v>89</v>
      </c>
      <c r="B13" s="5">
        <f t="shared" ref="B13:G13" si="4">B12*B4</f>
        <v>2859.6400000000003</v>
      </c>
      <c r="C13" s="5">
        <f t="shared" si="4"/>
        <v>2996.9027200000005</v>
      </c>
      <c r="D13" s="5">
        <f t="shared" si="4"/>
        <v>3095.8861355520007</v>
      </c>
      <c r="E13" s="5">
        <f t="shared" si="4"/>
        <v>3173.9563076659206</v>
      </c>
      <c r="F13" s="5">
        <f t="shared" si="4"/>
        <v>3313.6103852032211</v>
      </c>
      <c r="G13" s="5">
        <f t="shared" si="4"/>
        <v>3446.1548006113503</v>
      </c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5" t="s">
        <v>90</v>
      </c>
      <c r="B14" s="2">
        <v>5.0000000000000001E-3</v>
      </c>
      <c r="C14" s="2">
        <v>5.0000000000000001E-3</v>
      </c>
      <c r="D14" s="2">
        <v>5.0000000000000001E-3</v>
      </c>
      <c r="E14" s="2">
        <v>5.0000000000000001E-3</v>
      </c>
      <c r="F14" s="2">
        <v>5.0000000000000001E-3</v>
      </c>
      <c r="G14" s="2">
        <v>5.0000000000000001E-3</v>
      </c>
      <c r="H14" s="1"/>
    </row>
    <row r="15" spans="1:26">
      <c r="A15" s="15" t="s">
        <v>91</v>
      </c>
      <c r="B15" s="6"/>
      <c r="C15" s="9">
        <v>107.03224</v>
      </c>
      <c r="D15" s="9">
        <v>112.1697875</v>
      </c>
      <c r="E15" s="9">
        <v>117.5539373</v>
      </c>
      <c r="F15" s="9">
        <v>98.181048450000006</v>
      </c>
      <c r="G15" s="9">
        <v>102.1082904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5" t="s">
        <v>92</v>
      </c>
      <c r="B16" s="8">
        <f>B9+B11-B13-B15</f>
        <v>2107.7439999999997</v>
      </c>
      <c r="C16" s="8">
        <f t="shared" ref="C16:G16" si="5">C6-C8+C11-C13-C15</f>
        <v>1965.1119264000008</v>
      </c>
      <c r="D16" s="8">
        <f t="shared" si="5"/>
        <v>2138.4048293012788</v>
      </c>
      <c r="E16" s="8">
        <f t="shared" si="5"/>
        <v>2347.3170204458875</v>
      </c>
      <c r="F16" s="8">
        <f t="shared" si="5"/>
        <v>2493.7986306422972</v>
      </c>
      <c r="G16" s="8">
        <f t="shared" si="5"/>
        <v>2593.5505758559884</v>
      </c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5" t="s">
        <v>93</v>
      </c>
      <c r="B19" s="1"/>
      <c r="C19" s="1"/>
      <c r="D19" s="1"/>
      <c r="E19" s="1"/>
      <c r="F19" s="1"/>
      <c r="G19" s="1"/>
      <c r="H19" s="1"/>
    </row>
    <row r="20" spans="1:8">
      <c r="C20" s="1"/>
      <c r="D20" s="1"/>
      <c r="E20" s="1"/>
      <c r="F20" s="1"/>
      <c r="G20" s="1"/>
      <c r="H20" s="1"/>
    </row>
    <row r="21" spans="1:8">
      <c r="A21" s="15" t="s">
        <v>94</v>
      </c>
      <c r="B21" s="16">
        <v>4.5999999999999999E-2</v>
      </c>
      <c r="C21" s="1"/>
      <c r="D21" s="1"/>
      <c r="E21" s="1"/>
      <c r="F21" s="1"/>
      <c r="G21" s="1"/>
      <c r="H21" s="1"/>
    </row>
    <row r="22" spans="1:8">
      <c r="A22" s="15" t="s">
        <v>95</v>
      </c>
      <c r="B22" s="20">
        <v>0.14000000000000001</v>
      </c>
      <c r="C22" s="1"/>
      <c r="D22" s="1"/>
      <c r="E22" s="1"/>
      <c r="F22" s="1"/>
      <c r="G22" s="1"/>
      <c r="H22" s="1"/>
    </row>
    <row r="23" spans="1:8">
      <c r="A23" s="15" t="s">
        <v>96</v>
      </c>
      <c r="B23" s="20">
        <v>0.5</v>
      </c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56"/>
  <sheetViews>
    <sheetView topLeftCell="A9" workbookViewId="0">
      <selection activeCell="E32" sqref="E32"/>
    </sheetView>
  </sheetViews>
  <sheetFormatPr defaultColWidth="12.7109375" defaultRowHeight="15.75" customHeight="1"/>
  <cols>
    <col min="1" max="1" width="29.85546875" style="21" customWidth="1"/>
    <col min="2" max="2" width="17.28515625" customWidth="1"/>
  </cols>
  <sheetData>
    <row r="1" spans="1:8">
      <c r="A1" s="15"/>
      <c r="B1" s="1"/>
      <c r="C1" s="1"/>
      <c r="D1" s="1"/>
      <c r="E1" s="1"/>
      <c r="F1" s="1"/>
      <c r="G1" s="1"/>
      <c r="H1" s="1"/>
    </row>
    <row r="2" spans="1:8">
      <c r="C2" s="1"/>
      <c r="D2" s="1"/>
      <c r="E2" s="1"/>
      <c r="F2" s="1"/>
      <c r="G2" s="1"/>
      <c r="H2" s="1"/>
    </row>
    <row r="3" spans="1:8">
      <c r="A3" s="15" t="s">
        <v>43</v>
      </c>
      <c r="B3" s="2">
        <v>6.5500000000000003E-2</v>
      </c>
      <c r="C3" s="1"/>
      <c r="D3" s="1"/>
      <c r="E3" s="1"/>
      <c r="F3" s="1"/>
      <c r="G3" s="1"/>
      <c r="H3" s="1"/>
    </row>
    <row r="4" spans="1:8">
      <c r="A4" s="15" t="s">
        <v>15</v>
      </c>
      <c r="B4" s="2">
        <v>2.2499999999999999E-2</v>
      </c>
      <c r="C4" s="1"/>
      <c r="D4" s="1"/>
      <c r="E4" s="1"/>
      <c r="F4" s="1"/>
      <c r="G4" s="1"/>
      <c r="H4" s="1"/>
    </row>
    <row r="5" spans="1:8">
      <c r="A5" s="15" t="s">
        <v>21</v>
      </c>
      <c r="B5" s="1" t="s">
        <v>46</v>
      </c>
      <c r="C5" s="1"/>
      <c r="D5" s="1"/>
      <c r="E5" s="1"/>
      <c r="F5" s="1"/>
      <c r="G5" s="1"/>
      <c r="H5" s="1"/>
    </row>
    <row r="6" spans="1:8">
      <c r="A6" s="15"/>
      <c r="B6" s="1"/>
      <c r="C6" s="1"/>
      <c r="D6" s="1"/>
      <c r="E6" s="1"/>
      <c r="F6" s="1"/>
      <c r="G6" s="1"/>
      <c r="H6" s="1"/>
    </row>
    <row r="7" spans="1:8">
      <c r="A7" s="15"/>
      <c r="B7" s="1"/>
      <c r="C7" s="1"/>
      <c r="D7" s="1"/>
      <c r="E7" s="1"/>
      <c r="F7" s="1"/>
      <c r="G7" s="1"/>
      <c r="H7" s="1"/>
    </row>
    <row r="8" spans="1:8">
      <c r="A8" s="15"/>
      <c r="B8" s="1"/>
      <c r="C8" s="1"/>
      <c r="D8" s="1"/>
      <c r="E8" s="1"/>
      <c r="F8" s="1"/>
      <c r="G8" s="1"/>
      <c r="H8" s="1"/>
    </row>
    <row r="9" spans="1:8">
      <c r="A9" s="15"/>
      <c r="B9" s="1"/>
      <c r="C9" s="1"/>
      <c r="D9" s="1"/>
      <c r="E9" s="1"/>
      <c r="F9" s="1"/>
      <c r="G9" s="1"/>
      <c r="H9" s="1"/>
    </row>
    <row r="10" spans="1:8">
      <c r="H10" s="1"/>
    </row>
    <row r="11" spans="1:8">
      <c r="A11" s="15" t="s">
        <v>97</v>
      </c>
      <c r="B11" s="1"/>
      <c r="C11" s="1"/>
      <c r="D11" s="1"/>
      <c r="E11" s="1"/>
      <c r="F11" s="1"/>
      <c r="G11" s="1"/>
      <c r="H11" s="1"/>
    </row>
    <row r="12" spans="1:8">
      <c r="A12" s="15" t="s">
        <v>98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99</v>
      </c>
      <c r="H12" s="1"/>
    </row>
    <row r="13" spans="1:8">
      <c r="A13" s="15"/>
      <c r="B13" s="4">
        <f>'Unleveraged Cash Flow'!C16</f>
        <v>1965.1119264000008</v>
      </c>
      <c r="C13" s="4">
        <f>'Unleveraged Cash Flow'!D16</f>
        <v>2138.4048293012788</v>
      </c>
      <c r="D13" s="4">
        <f>'Unleveraged Cash Flow'!E16</f>
        <v>2347.3170204458875</v>
      </c>
      <c r="E13" s="4">
        <f>'Unleveraged Cash Flow'!F16</f>
        <v>2493.7986306422972</v>
      </c>
      <c r="F13" s="4">
        <f>'Unleveraged Cash Flow'!G16</f>
        <v>2593.5505758559884</v>
      </c>
      <c r="G13" s="4">
        <f>SUM(B13:F13)</f>
        <v>11538.182982645452</v>
      </c>
      <c r="H13" s="1"/>
    </row>
    <row r="14" spans="1:8">
      <c r="A14" s="15"/>
      <c r="B14" s="4"/>
      <c r="C14" s="4"/>
      <c r="D14" s="4"/>
      <c r="E14" s="4"/>
      <c r="F14" s="4"/>
      <c r="G14" s="4"/>
      <c r="H14" s="1"/>
    </row>
    <row r="15" spans="1:8">
      <c r="A15"/>
      <c r="H15" s="1"/>
    </row>
    <row r="16" spans="1:8">
      <c r="A16" s="15" t="s">
        <v>100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/>
      <c r="H16" s="1"/>
    </row>
    <row r="17" spans="1:8">
      <c r="A17" s="15" t="s">
        <v>101</v>
      </c>
      <c r="B17" s="23">
        <f>1/(1+B3)^B16</f>
        <v>0.93852651337400272</v>
      </c>
      <c r="C17" s="23">
        <f>1/(1+B3)^C16</f>
        <v>0.8808320163059622</v>
      </c>
      <c r="D17" s="23">
        <f>1/(1+B3)^D16</f>
        <v>0.82668420113182728</v>
      </c>
      <c r="E17" s="23">
        <f>1/(1+B3)^E16</f>
        <v>0.77586504094962672</v>
      </c>
      <c r="F17" s="23">
        <f>1/(1+B3)^F16</f>
        <v>0.72816991173123102</v>
      </c>
      <c r="G17" s="1"/>
      <c r="H17" s="1"/>
    </row>
    <row r="18" spans="1:8">
      <c r="A18" s="15"/>
      <c r="B18" s="1"/>
      <c r="C18" s="1"/>
      <c r="D18" s="1"/>
      <c r="E18" s="1"/>
      <c r="F18" s="1"/>
      <c r="G18" s="1"/>
      <c r="H18" s="1"/>
    </row>
    <row r="19" spans="1:8">
      <c r="A19" s="15" t="s">
        <v>102</v>
      </c>
      <c r="B19" s="1"/>
      <c r="C19" s="1"/>
      <c r="D19" s="1"/>
      <c r="E19" s="1"/>
      <c r="F19" s="1"/>
      <c r="G19" s="1"/>
      <c r="H19" s="1"/>
    </row>
    <row r="20" spans="1:8">
      <c r="A20" s="15"/>
      <c r="B20" s="1" t="s">
        <v>77</v>
      </c>
      <c r="C20" s="1" t="s">
        <v>78</v>
      </c>
      <c r="D20" s="1" t="s">
        <v>79</v>
      </c>
      <c r="E20" s="1" t="s">
        <v>80</v>
      </c>
      <c r="F20" s="1" t="s">
        <v>81</v>
      </c>
      <c r="G20" s="1" t="s">
        <v>99</v>
      </c>
      <c r="H20" s="1"/>
    </row>
    <row r="21" spans="1:8">
      <c r="A21" s="15" t="s">
        <v>98</v>
      </c>
      <c r="B21" s="4">
        <f>B13</f>
        <v>1965.1119264000008</v>
      </c>
      <c r="C21" s="4">
        <f>C13</f>
        <v>2138.4048293012788</v>
      </c>
      <c r="D21" s="4">
        <f>D13</f>
        <v>2347.3170204458875</v>
      </c>
      <c r="E21" s="4">
        <f>E13</f>
        <v>2493.7986306422972</v>
      </c>
      <c r="F21" s="1">
        <v>2593.6</v>
      </c>
      <c r="G21" s="1"/>
      <c r="H21" s="1"/>
    </row>
    <row r="22" spans="1:8">
      <c r="A22" s="15" t="s">
        <v>103</v>
      </c>
      <c r="B22" s="11">
        <f t="shared" ref="B22:F22" si="0">B17</f>
        <v>0.93852651337400272</v>
      </c>
      <c r="C22" s="11">
        <f t="shared" si="0"/>
        <v>0.8808320163059622</v>
      </c>
      <c r="D22" s="11">
        <f t="shared" si="0"/>
        <v>0.82668420113182728</v>
      </c>
      <c r="E22" s="11">
        <f t="shared" si="0"/>
        <v>0.77586504094962672</v>
      </c>
      <c r="F22" s="11">
        <f t="shared" si="0"/>
        <v>0.72816991173123102</v>
      </c>
      <c r="G22" s="1"/>
      <c r="H22" s="1"/>
    </row>
    <row r="23" spans="1:8">
      <c r="A23" s="15" t="s">
        <v>104</v>
      </c>
      <c r="B23" s="22">
        <f t="shared" ref="B23:F23" si="1">B22*B21</f>
        <v>1844.3096446738625</v>
      </c>
      <c r="C23" s="22">
        <f t="shared" si="1"/>
        <v>1883.5754374718524</v>
      </c>
      <c r="D23" s="22">
        <f t="shared" si="1"/>
        <v>1940.4898958504496</v>
      </c>
      <c r="E23" s="22">
        <f t="shared" si="1"/>
        <v>1934.851176683409</v>
      </c>
      <c r="F23" s="22">
        <f t="shared" si="1"/>
        <v>1888.5814830661207</v>
      </c>
      <c r="G23" s="22">
        <f>SUM(B23:F23)</f>
        <v>9491.8076377456946</v>
      </c>
      <c r="H23" s="1"/>
    </row>
    <row r="24" spans="1:8">
      <c r="A24" s="15"/>
      <c r="B24" s="1"/>
      <c r="C24" s="1"/>
      <c r="D24" s="1"/>
      <c r="E24" s="1"/>
      <c r="F24" s="1"/>
      <c r="G24" s="1"/>
      <c r="H24" s="1"/>
    </row>
    <row r="25" spans="1:8">
      <c r="A25"/>
      <c r="C25" s="1"/>
      <c r="D25" s="1"/>
      <c r="E25" s="1"/>
      <c r="F25" s="1"/>
      <c r="G25" s="1"/>
      <c r="H25" s="1"/>
    </row>
    <row r="26" spans="1:8">
      <c r="A26" s="15" t="s">
        <v>105</v>
      </c>
      <c r="B26" s="1">
        <v>2593.6</v>
      </c>
      <c r="C26" s="1"/>
      <c r="D26" s="1"/>
      <c r="E26" s="1"/>
      <c r="F26" s="1"/>
      <c r="G26" s="1"/>
      <c r="H26" s="1"/>
    </row>
    <row r="27" spans="1:8">
      <c r="A27" s="15" t="s">
        <v>15</v>
      </c>
      <c r="B27" s="2">
        <f>B4</f>
        <v>2.2499999999999999E-2</v>
      </c>
      <c r="C27" s="1"/>
      <c r="D27" s="1"/>
      <c r="E27" s="1"/>
      <c r="F27" s="1"/>
      <c r="G27" s="1"/>
      <c r="H27" s="1"/>
    </row>
    <row r="28" spans="1:8">
      <c r="A28" s="15" t="s">
        <v>43</v>
      </c>
      <c r="B28" s="2">
        <v>6.5492499999999995E-2</v>
      </c>
      <c r="C28" s="1"/>
      <c r="D28" s="1"/>
      <c r="E28" s="1"/>
      <c r="F28" s="1"/>
      <c r="G28" s="1"/>
      <c r="H28" s="1"/>
    </row>
    <row r="29" spans="1:8">
      <c r="A29" s="15" t="s">
        <v>106</v>
      </c>
      <c r="B29" s="22">
        <v>58968.324430000001</v>
      </c>
      <c r="C29" s="1"/>
      <c r="D29" s="1"/>
      <c r="E29" s="1"/>
      <c r="F29" s="1"/>
      <c r="G29" s="1"/>
      <c r="H29" s="1"/>
    </row>
    <row r="30" spans="1:8">
      <c r="A30" s="15"/>
      <c r="B30" s="1"/>
      <c r="C30" s="1"/>
      <c r="D30" s="1"/>
      <c r="E30" s="1"/>
      <c r="F30" s="1"/>
      <c r="G30" s="1"/>
      <c r="H30" s="1"/>
    </row>
    <row r="31" spans="1:8">
      <c r="A31" s="15"/>
      <c r="B31" s="1"/>
      <c r="C31" s="1"/>
      <c r="D31" s="1"/>
      <c r="E31" s="1"/>
      <c r="F31" s="1"/>
      <c r="G31" s="1"/>
      <c r="H31" s="1"/>
    </row>
    <row r="32" spans="1:8">
      <c r="A32"/>
      <c r="C32" s="1"/>
      <c r="D32" s="1"/>
      <c r="E32" s="1"/>
      <c r="F32" s="1"/>
      <c r="G32" s="1"/>
      <c r="H32" s="1"/>
    </row>
    <row r="33" spans="1:8">
      <c r="A33" s="15" t="s">
        <v>107</v>
      </c>
      <c r="B33" s="1"/>
      <c r="C33" s="1"/>
      <c r="D33" s="1"/>
      <c r="E33" s="1"/>
      <c r="F33" s="1"/>
      <c r="G33" s="1"/>
      <c r="H33" s="1"/>
    </row>
    <row r="34" spans="1:8">
      <c r="A34" s="15" t="s">
        <v>108</v>
      </c>
      <c r="B34" s="1">
        <f>B29</f>
        <v>58968.324430000001</v>
      </c>
      <c r="C34" s="1"/>
      <c r="D34" s="1"/>
      <c r="E34" s="1"/>
      <c r="F34" s="1"/>
      <c r="G34" s="1"/>
      <c r="H34" s="1"/>
    </row>
    <row r="35" spans="1:8">
      <c r="A35" s="15" t="s">
        <v>109</v>
      </c>
      <c r="B35" s="1">
        <v>0.72370000000000001</v>
      </c>
      <c r="C35" s="1"/>
      <c r="D35" s="1"/>
      <c r="E35" s="1"/>
      <c r="F35" s="1"/>
      <c r="G35" s="1"/>
      <c r="H35" s="1"/>
    </row>
    <row r="36" spans="1:8">
      <c r="A36" s="15" t="s">
        <v>110</v>
      </c>
      <c r="B36" s="22">
        <v>42940.4709</v>
      </c>
      <c r="C36" s="1"/>
      <c r="D36" s="1"/>
      <c r="E36" s="1"/>
      <c r="F36" s="1"/>
      <c r="G36" s="1"/>
      <c r="H36" s="1"/>
    </row>
    <row r="37" spans="1:8">
      <c r="A37" s="15"/>
      <c r="B37" s="1"/>
      <c r="C37" s="1"/>
      <c r="D37" s="1"/>
      <c r="E37" s="1"/>
      <c r="F37" s="1"/>
      <c r="G37" s="1"/>
      <c r="H37" s="1"/>
    </row>
    <row r="38" spans="1:8">
      <c r="A38"/>
      <c r="C38" s="1"/>
      <c r="D38" s="1"/>
      <c r="E38" s="1"/>
      <c r="F38" s="1"/>
      <c r="G38" s="1"/>
      <c r="H38" s="1"/>
    </row>
    <row r="39" spans="1:8">
      <c r="A39" s="15" t="s">
        <v>111</v>
      </c>
      <c r="B39" s="1"/>
      <c r="C39" s="1"/>
      <c r="D39" s="1"/>
      <c r="E39" s="1"/>
      <c r="F39" s="1"/>
      <c r="G39" s="1"/>
      <c r="H39" s="1"/>
    </row>
    <row r="40" spans="1:8">
      <c r="A40" s="15" t="s">
        <v>112</v>
      </c>
      <c r="B40" s="1">
        <f>G23</f>
        <v>9491.8076377456946</v>
      </c>
      <c r="C40" s="1"/>
      <c r="D40" s="1"/>
      <c r="E40" s="1"/>
      <c r="F40" s="1"/>
      <c r="G40" s="1"/>
      <c r="H40" s="1"/>
    </row>
    <row r="41" spans="1:8">
      <c r="A41" s="15" t="s">
        <v>113</v>
      </c>
      <c r="B41" s="1">
        <f>B36</f>
        <v>42940.4709</v>
      </c>
      <c r="C41" s="1"/>
      <c r="D41" s="1"/>
      <c r="E41" s="1"/>
      <c r="F41" s="1"/>
      <c r="G41" s="1"/>
      <c r="H41" s="1"/>
    </row>
    <row r="42" spans="1:8">
      <c r="A42" s="15" t="s">
        <v>114</v>
      </c>
      <c r="B42" s="22">
        <f>B41+B40</f>
        <v>52432.278537745697</v>
      </c>
      <c r="C42" s="1"/>
      <c r="D42" s="1"/>
      <c r="E42" s="1"/>
      <c r="F42" s="1"/>
      <c r="G42" s="1"/>
      <c r="H42" s="1"/>
    </row>
    <row r="43" spans="1:8">
      <c r="A43" s="15"/>
      <c r="B43" s="22"/>
      <c r="C43" s="1"/>
      <c r="D43" s="1"/>
      <c r="E43" s="1"/>
      <c r="F43" s="1"/>
      <c r="G43" s="1"/>
      <c r="H43" s="1"/>
    </row>
    <row r="44" spans="1:8">
      <c r="A44" s="15"/>
      <c r="B44" s="22"/>
      <c r="C44" s="1"/>
      <c r="D44" s="1"/>
      <c r="E44" s="1"/>
      <c r="F44" s="1"/>
      <c r="G44" s="1"/>
      <c r="H44" s="1"/>
    </row>
    <row r="45" spans="1:8">
      <c r="A45" s="15"/>
      <c r="B45" s="22"/>
      <c r="C45" s="1"/>
      <c r="D45" s="1"/>
      <c r="E45" s="1"/>
      <c r="F45" s="1"/>
      <c r="G45" s="1"/>
      <c r="H45" s="1"/>
    </row>
    <row r="46" spans="1:8">
      <c r="A46"/>
      <c r="C46" s="1"/>
      <c r="D46" s="1"/>
      <c r="E46" s="1"/>
      <c r="F46" s="1"/>
      <c r="G46" s="1"/>
      <c r="H46" s="1"/>
    </row>
    <row r="47" spans="1:8">
      <c r="A47" s="15" t="s">
        <v>115</v>
      </c>
      <c r="B47" s="1"/>
      <c r="C47" s="1"/>
      <c r="D47" s="1"/>
      <c r="E47" s="1"/>
      <c r="F47" s="1"/>
      <c r="G47" s="1"/>
      <c r="H47" s="1"/>
    </row>
    <row r="48" spans="1:8">
      <c r="A48" s="15" t="s">
        <v>116</v>
      </c>
      <c r="B48" s="1">
        <f>B42</f>
        <v>52432.278537745697</v>
      </c>
      <c r="C48" s="1"/>
      <c r="D48" s="1"/>
      <c r="E48" s="1"/>
      <c r="F48" s="1"/>
      <c r="G48" s="1"/>
      <c r="H48" s="1"/>
    </row>
    <row r="49" spans="1:8">
      <c r="A49" s="15" t="s">
        <v>48</v>
      </c>
      <c r="B49" s="1">
        <v>16200</v>
      </c>
      <c r="C49" s="1"/>
      <c r="D49" s="1"/>
      <c r="E49" s="1"/>
      <c r="F49" s="1"/>
      <c r="G49" s="1"/>
      <c r="H49" s="1"/>
    </row>
    <row r="50" spans="1:8">
      <c r="A50" s="15" t="s">
        <v>117</v>
      </c>
      <c r="B50" s="22">
        <f>B48-B49</f>
        <v>36232.278537745697</v>
      </c>
      <c r="C50" s="1"/>
      <c r="D50" s="1"/>
      <c r="E50" s="1"/>
      <c r="F50" s="1"/>
      <c r="G50" s="1"/>
      <c r="H50" s="1"/>
    </row>
    <row r="51" spans="1:8">
      <c r="A51" s="15"/>
      <c r="B51" s="22"/>
      <c r="C51" s="1"/>
      <c r="D51" s="1"/>
      <c r="E51" s="1"/>
      <c r="F51" s="1"/>
      <c r="G51" s="1"/>
      <c r="H51" s="1"/>
    </row>
    <row r="52" spans="1:8">
      <c r="A52" s="15"/>
      <c r="B52" s="22"/>
      <c r="C52" s="1"/>
      <c r="D52" s="1"/>
      <c r="E52" s="1"/>
      <c r="F52" s="1"/>
      <c r="G52" s="1"/>
      <c r="H52" s="1"/>
    </row>
    <row r="53" spans="1:8">
      <c r="A53" s="15" t="s">
        <v>118</v>
      </c>
      <c r="B53" s="1"/>
      <c r="C53" s="1"/>
      <c r="D53" s="1"/>
      <c r="E53" s="1"/>
      <c r="F53" s="1"/>
      <c r="G53" s="1"/>
      <c r="H53" s="1"/>
    </row>
    <row r="54" spans="1:8">
      <c r="A54" s="15" t="s">
        <v>119</v>
      </c>
      <c r="B54" s="1">
        <f>B50</f>
        <v>36232.278537745697</v>
      </c>
      <c r="C54" s="1"/>
      <c r="D54" s="1"/>
      <c r="E54" s="1"/>
      <c r="F54" s="1"/>
      <c r="G54" s="1"/>
      <c r="H54" s="1"/>
    </row>
    <row r="55" spans="1:8">
      <c r="A55" s="15" t="s">
        <v>120</v>
      </c>
      <c r="B55" s="1">
        <v>407</v>
      </c>
      <c r="C55" s="1"/>
      <c r="D55" s="1"/>
      <c r="E55" s="1"/>
      <c r="F55" s="1"/>
      <c r="G55" s="1"/>
      <c r="H55" s="1"/>
    </row>
    <row r="56" spans="1:8">
      <c r="A56" s="15" t="s">
        <v>121</v>
      </c>
      <c r="B56" s="24">
        <f>B54/B55</f>
        <v>89.022797390038562</v>
      </c>
      <c r="C56" s="1"/>
      <c r="D56" s="1"/>
      <c r="E56" s="1"/>
      <c r="F56" s="1"/>
      <c r="G56" s="1"/>
      <c r="H56" s="1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1"/>
  <sheetViews>
    <sheetView workbookViewId="0">
      <selection activeCell="C20" sqref="C20"/>
    </sheetView>
  </sheetViews>
  <sheetFormatPr defaultColWidth="12.7109375" defaultRowHeight="15.75" customHeight="1"/>
  <cols>
    <col min="1" max="1" width="19.140625" customWidth="1"/>
    <col min="2" max="2" width="23" customWidth="1"/>
    <col min="3" max="3" width="19.85546875" customWidth="1"/>
    <col min="4" max="4" width="25.140625" customWidth="1"/>
  </cols>
  <sheetData>
    <row r="1" spans="1:4" ht="15.75" customHeight="1">
      <c r="A1" s="25" t="s">
        <v>122</v>
      </c>
    </row>
    <row r="4" spans="1:4">
      <c r="A4" s="1"/>
      <c r="B4" s="1"/>
      <c r="C4" s="1"/>
      <c r="D4" s="1"/>
    </row>
    <row r="5" spans="1:4" ht="12.95"/>
    <row r="6" spans="1:4" ht="18">
      <c r="A6" s="13" t="s">
        <v>123</v>
      </c>
      <c r="B6" s="26">
        <v>1.7500000000000002E-2</v>
      </c>
      <c r="C6" s="27" t="s">
        <v>124</v>
      </c>
      <c r="D6" s="26">
        <v>2.75E-2</v>
      </c>
    </row>
    <row r="7" spans="1:4" ht="18">
      <c r="A7" s="28">
        <v>5.5500000000000001E-2</v>
      </c>
      <c r="B7" s="29">
        <v>113.6</v>
      </c>
      <c r="C7" s="29">
        <v>128.9</v>
      </c>
      <c r="D7" s="29">
        <v>149.80000000000001</v>
      </c>
    </row>
    <row r="8" spans="1:4" ht="18">
      <c r="A8" s="30" t="s">
        <v>125</v>
      </c>
      <c r="B8" s="29">
        <v>78.900000000000006</v>
      </c>
      <c r="C8" s="31">
        <v>89</v>
      </c>
      <c r="D8" s="29">
        <v>103</v>
      </c>
    </row>
    <row r="9" spans="1:4" ht="15.75" customHeight="1">
      <c r="A9" s="28">
        <v>7.5499999999999998E-2</v>
      </c>
      <c r="B9" s="29">
        <v>60.3</v>
      </c>
      <c r="C9" s="29">
        <v>67.900000000000006</v>
      </c>
      <c r="D9" s="29">
        <v>78.599999999999994</v>
      </c>
    </row>
    <row r="11" spans="1:4" ht="15.75" customHeight="1">
      <c r="A11" s="19" t="s">
        <v>126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37"/>
  <sheetViews>
    <sheetView zoomScale="103" workbookViewId="0">
      <selection activeCell="G18" sqref="G18"/>
    </sheetView>
  </sheetViews>
  <sheetFormatPr defaultColWidth="12.7109375" defaultRowHeight="15.75" customHeight="1"/>
  <cols>
    <col min="1" max="1" width="21.42578125" style="21" customWidth="1"/>
  </cols>
  <sheetData>
    <row r="1" spans="1:8" ht="15.75" customHeight="1">
      <c r="A1" s="19"/>
      <c r="B1" s="14"/>
      <c r="C1" s="14"/>
      <c r="D1" s="14"/>
      <c r="E1" s="14"/>
      <c r="F1" s="14"/>
      <c r="G1" s="14"/>
      <c r="H1" s="14"/>
    </row>
    <row r="2" spans="1:8" ht="15.75" customHeight="1">
      <c r="A2" s="19"/>
      <c r="B2" s="14"/>
      <c r="C2" s="14"/>
      <c r="D2" s="14"/>
      <c r="E2" s="14"/>
      <c r="F2" s="14"/>
      <c r="G2" s="14"/>
      <c r="H2" s="14"/>
    </row>
    <row r="3" spans="1:8" ht="15.75" customHeight="1">
      <c r="A3" s="15" t="s">
        <v>76</v>
      </c>
      <c r="B3" s="1" t="s">
        <v>127</v>
      </c>
      <c r="C3" s="14"/>
      <c r="D3" s="14"/>
      <c r="E3" s="14"/>
      <c r="F3" s="14"/>
      <c r="G3" s="14"/>
      <c r="H3" s="14"/>
    </row>
    <row r="4" spans="1:8" ht="15.75" customHeight="1">
      <c r="A4" s="15" t="s">
        <v>128</v>
      </c>
      <c r="B4" s="22" t="s">
        <v>129</v>
      </c>
      <c r="C4" s="14"/>
      <c r="D4" s="14"/>
      <c r="E4" s="14"/>
      <c r="F4" s="14"/>
      <c r="G4" s="14"/>
      <c r="H4" s="14"/>
    </row>
    <row r="5" spans="1:8" ht="15.75" customHeight="1">
      <c r="A5" s="15" t="s">
        <v>130</v>
      </c>
      <c r="B5" s="22" t="s">
        <v>131</v>
      </c>
      <c r="C5" s="14"/>
      <c r="D5" s="14"/>
      <c r="E5" s="14"/>
      <c r="F5" s="14"/>
      <c r="G5" s="14"/>
      <c r="H5" s="14"/>
    </row>
    <row r="6" spans="1:8" ht="15.75" customHeight="1">
      <c r="A6" s="15" t="s">
        <v>132</v>
      </c>
      <c r="B6" s="22" t="s">
        <v>133</v>
      </c>
      <c r="C6" s="14"/>
      <c r="D6" s="14"/>
      <c r="E6" s="14"/>
      <c r="F6" s="14"/>
      <c r="G6" s="14"/>
      <c r="H6" s="14"/>
    </row>
    <row r="7" spans="1:8" ht="15.75" customHeight="1">
      <c r="A7" s="15" t="s">
        <v>134</v>
      </c>
      <c r="B7" s="1"/>
      <c r="C7" s="14"/>
      <c r="D7" s="14"/>
      <c r="E7" s="14"/>
      <c r="F7" s="14"/>
      <c r="G7" s="14"/>
      <c r="H7" s="14"/>
    </row>
    <row r="8" spans="1:8" ht="15.75" customHeight="1">
      <c r="A8" s="19"/>
      <c r="B8" s="14"/>
      <c r="C8" s="14"/>
      <c r="D8" s="14"/>
      <c r="E8" s="14"/>
      <c r="F8" s="14"/>
      <c r="G8" s="14"/>
      <c r="H8" s="14"/>
    </row>
    <row r="9" spans="1:8" ht="15.75" customHeight="1">
      <c r="A9" s="19"/>
      <c r="B9" s="14"/>
      <c r="C9" s="14"/>
      <c r="D9" s="14"/>
      <c r="E9" s="14"/>
      <c r="F9" s="14"/>
      <c r="G9" s="14"/>
      <c r="H9" s="14"/>
    </row>
    <row r="10" spans="1:8" ht="15.75" customHeight="1">
      <c r="A10" s="15" t="s">
        <v>135</v>
      </c>
      <c r="B10" s="1">
        <v>12345.9</v>
      </c>
      <c r="C10" s="14"/>
      <c r="D10" s="14"/>
      <c r="E10" s="14"/>
      <c r="F10" s="14"/>
      <c r="G10" s="14"/>
      <c r="H10" s="14"/>
    </row>
    <row r="11" spans="1:8" ht="15.75" customHeight="1">
      <c r="A11" s="15"/>
      <c r="B11" s="1"/>
      <c r="C11" s="14"/>
      <c r="D11" s="14"/>
      <c r="E11" s="14"/>
      <c r="F11" s="14"/>
      <c r="G11" s="14"/>
      <c r="H11" s="14"/>
    </row>
    <row r="12" spans="1:8" ht="15.75" customHeight="1">
      <c r="A12" s="15"/>
      <c r="B12" s="1"/>
      <c r="C12" s="14"/>
      <c r="D12" s="14"/>
      <c r="E12" s="14"/>
      <c r="F12" s="14"/>
      <c r="G12" s="14"/>
      <c r="H12" s="14"/>
    </row>
    <row r="13" spans="1:8" ht="15.75" customHeight="1">
      <c r="A13" s="15"/>
      <c r="B13" s="1"/>
      <c r="C13" s="14"/>
      <c r="D13" s="14"/>
      <c r="E13" s="14"/>
      <c r="F13" s="14"/>
      <c r="G13" s="14"/>
      <c r="H13" s="14"/>
    </row>
    <row r="14" spans="1:8" ht="15.75" customHeight="1">
      <c r="A14" s="19"/>
      <c r="B14" s="14"/>
      <c r="C14" s="14"/>
      <c r="D14" s="14"/>
      <c r="E14" s="14"/>
      <c r="F14" s="14"/>
      <c r="G14" s="14"/>
      <c r="H14" s="14"/>
    </row>
    <row r="15" spans="1:8" ht="15.75" customHeight="1">
      <c r="A15" s="15" t="s">
        <v>136</v>
      </c>
      <c r="B15" s="14"/>
      <c r="C15" s="14"/>
      <c r="D15" s="14"/>
      <c r="E15" s="14"/>
      <c r="F15" s="14"/>
      <c r="G15" s="14"/>
      <c r="H15" s="14"/>
    </row>
    <row r="16" spans="1:8" ht="15.75" customHeight="1">
      <c r="A16" s="15" t="s">
        <v>76</v>
      </c>
      <c r="B16" s="1" t="s">
        <v>137</v>
      </c>
      <c r="C16" s="14"/>
      <c r="D16" s="14"/>
      <c r="E16" s="14"/>
      <c r="F16" s="14"/>
      <c r="G16" s="14"/>
      <c r="H16" s="14"/>
    </row>
    <row r="17" spans="1:8" ht="15.75" customHeight="1">
      <c r="A17" s="15" t="s">
        <v>138</v>
      </c>
      <c r="B17" s="22" t="s">
        <v>139</v>
      </c>
      <c r="C17" s="14"/>
      <c r="D17" s="14"/>
      <c r="E17" s="14"/>
      <c r="F17" s="14"/>
      <c r="G17" s="14"/>
      <c r="H17" s="14"/>
    </row>
    <row r="18" spans="1:8" ht="15.75" customHeight="1">
      <c r="A18" s="15" t="s">
        <v>132</v>
      </c>
      <c r="B18" s="22" t="s">
        <v>140</v>
      </c>
      <c r="C18" s="14"/>
      <c r="D18" s="14"/>
      <c r="E18" s="14"/>
      <c r="F18" s="14"/>
      <c r="G18" s="14"/>
      <c r="H18" s="14"/>
    </row>
    <row r="19" spans="1:8" ht="15.75" customHeight="1">
      <c r="A19" s="15" t="s">
        <v>141</v>
      </c>
      <c r="B19" s="22" t="s">
        <v>142</v>
      </c>
      <c r="C19" s="14"/>
      <c r="D19" s="14"/>
      <c r="E19" s="14"/>
      <c r="F19" s="14"/>
      <c r="G19" s="14"/>
      <c r="H19" s="14"/>
    </row>
    <row r="20" spans="1:8" ht="15.75" customHeight="1">
      <c r="A20" s="15" t="s">
        <v>143</v>
      </c>
      <c r="B20" s="14"/>
      <c r="C20" s="14"/>
      <c r="D20" s="14"/>
      <c r="E20" s="14"/>
      <c r="F20" s="14"/>
      <c r="G20" s="14"/>
      <c r="H20" s="14"/>
    </row>
    <row r="21" spans="1:8" ht="15.75" customHeight="1">
      <c r="A21" s="19"/>
      <c r="B21" s="14"/>
      <c r="C21" s="14"/>
      <c r="D21" s="14"/>
      <c r="E21" s="14"/>
      <c r="F21" s="14"/>
      <c r="G21" s="14"/>
      <c r="H21" s="14"/>
    </row>
    <row r="22" spans="1:8" ht="15.75" customHeight="1">
      <c r="A22" s="19"/>
      <c r="B22" s="14"/>
      <c r="C22" s="14"/>
      <c r="D22" s="14"/>
      <c r="E22" s="14"/>
      <c r="F22" s="14"/>
      <c r="G22" s="14"/>
      <c r="H22" s="14"/>
    </row>
    <row r="23" spans="1:8" ht="15.75" customHeight="1">
      <c r="A23" s="15" t="s">
        <v>48</v>
      </c>
      <c r="B23" s="1">
        <v>16200</v>
      </c>
      <c r="C23" s="14"/>
      <c r="D23" s="14"/>
      <c r="E23" s="14"/>
      <c r="F23" s="14"/>
      <c r="G23" s="14"/>
      <c r="H23" s="14"/>
    </row>
    <row r="24" spans="1:8" ht="15.75" customHeight="1">
      <c r="A24" s="15" t="s">
        <v>144</v>
      </c>
      <c r="B24" s="1">
        <v>407</v>
      </c>
      <c r="C24" s="14"/>
      <c r="D24" s="14"/>
      <c r="E24" s="14"/>
      <c r="F24" s="14"/>
      <c r="G24" s="14"/>
      <c r="H24" s="14"/>
    </row>
    <row r="25" spans="1:8" ht="15.75" customHeight="1">
      <c r="A25" s="15"/>
      <c r="B25" s="1"/>
      <c r="C25" s="1"/>
      <c r="D25" s="1"/>
      <c r="E25" s="14"/>
      <c r="F25" s="14"/>
      <c r="G25" s="14"/>
      <c r="H25" s="14"/>
    </row>
    <row r="26" spans="1:8" ht="15.75" customHeight="1">
      <c r="A26" s="15"/>
      <c r="B26" s="1"/>
      <c r="C26" s="1"/>
      <c r="D26" s="1"/>
      <c r="E26" s="14"/>
      <c r="F26" s="14"/>
      <c r="G26" s="14"/>
      <c r="H26" s="14"/>
    </row>
    <row r="27" spans="1:8" ht="15.75" customHeight="1">
      <c r="A27" s="15"/>
      <c r="B27" s="1"/>
      <c r="C27" s="14"/>
      <c r="D27" s="14"/>
      <c r="E27" s="14"/>
      <c r="F27" s="14"/>
      <c r="G27" s="14"/>
      <c r="H27" s="14"/>
    </row>
    <row r="28" spans="1:8" ht="15.75" customHeight="1">
      <c r="A28" s="15" t="s">
        <v>21</v>
      </c>
      <c r="B28" s="1" t="s">
        <v>138</v>
      </c>
      <c r="C28" s="1" t="s">
        <v>132</v>
      </c>
      <c r="D28" s="1" t="s">
        <v>141</v>
      </c>
      <c r="E28" s="14"/>
      <c r="F28" s="14"/>
      <c r="G28" s="14"/>
      <c r="H28" s="14"/>
    </row>
    <row r="29" spans="1:8" ht="15.75" customHeight="1">
      <c r="A29" s="15" t="s">
        <v>128</v>
      </c>
      <c r="B29" s="22">
        <v>187.4</v>
      </c>
      <c r="C29" s="22">
        <v>219.9</v>
      </c>
      <c r="D29" s="22">
        <v>252.3</v>
      </c>
      <c r="E29" s="14"/>
      <c r="F29" s="14"/>
      <c r="G29" s="14"/>
      <c r="H29" s="14"/>
    </row>
    <row r="30" spans="1:8" ht="15.75" customHeight="1">
      <c r="A30" s="15" t="s">
        <v>145</v>
      </c>
      <c r="B30" s="22">
        <v>205.8</v>
      </c>
      <c r="C30" s="22">
        <v>236.7</v>
      </c>
      <c r="D30" s="22">
        <v>271.39999999999998</v>
      </c>
      <c r="E30" s="14"/>
      <c r="F30" s="14"/>
      <c r="G30" s="14"/>
      <c r="H30" s="14"/>
    </row>
    <row r="31" spans="1:8" ht="15.75" customHeight="1">
      <c r="A31" s="19"/>
      <c r="B31" s="14"/>
      <c r="C31" s="14"/>
      <c r="D31" s="14"/>
      <c r="E31" s="14"/>
      <c r="F31" s="14"/>
      <c r="G31" s="14"/>
      <c r="H31" s="14"/>
    </row>
    <row r="32" spans="1:8" ht="15.75" customHeight="1">
      <c r="A32" s="19"/>
      <c r="B32" s="14"/>
      <c r="C32" s="14"/>
      <c r="D32" s="14"/>
      <c r="E32" s="14"/>
      <c r="F32" s="14"/>
      <c r="G32" s="14"/>
      <c r="H32" s="14"/>
    </row>
    <row r="33" spans="1:8" ht="15.75" customHeight="1">
      <c r="A33" s="15" t="s">
        <v>146</v>
      </c>
      <c r="B33" s="19"/>
      <c r="C33" s="19"/>
      <c r="D33" s="19"/>
      <c r="E33" s="19"/>
      <c r="F33" s="19"/>
      <c r="G33" s="19"/>
      <c r="H33" s="19"/>
    </row>
    <row r="34" spans="1:8" ht="15.75" customHeight="1">
      <c r="A34" s="15" t="s">
        <v>147</v>
      </c>
      <c r="B34" s="19"/>
      <c r="C34" s="19"/>
      <c r="D34" s="19"/>
      <c r="E34" s="19"/>
      <c r="F34" s="19"/>
      <c r="G34" s="19"/>
      <c r="H34" s="19"/>
    </row>
    <row r="35" spans="1:8" ht="15.75" customHeight="1">
      <c r="A35" s="19"/>
      <c r="B35" s="14"/>
      <c r="C35" s="14"/>
      <c r="D35" s="14"/>
      <c r="E35" s="14"/>
      <c r="F35" s="14"/>
      <c r="G35" s="14"/>
      <c r="H35" s="14"/>
    </row>
    <row r="36" spans="1:8" ht="15.75" customHeight="1">
      <c r="A36" s="19"/>
      <c r="B36" s="14"/>
      <c r="C36" s="14"/>
      <c r="D36" s="14"/>
      <c r="E36" s="14"/>
      <c r="F36" s="14"/>
      <c r="G36" s="14"/>
      <c r="H36" s="14"/>
    </row>
    <row r="37" spans="1:8" ht="15.75" customHeight="1">
      <c r="A37" s="19"/>
      <c r="B37" s="14"/>
      <c r="C37" s="14"/>
      <c r="D37" s="14"/>
      <c r="E37" s="14"/>
      <c r="F37" s="14"/>
      <c r="G37" s="14"/>
      <c r="H37" s="14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D17"/>
  <sheetViews>
    <sheetView workbookViewId="0">
      <selection activeCell="C11" sqref="C11"/>
    </sheetView>
  </sheetViews>
  <sheetFormatPr defaultColWidth="12.7109375" defaultRowHeight="15.75" customHeight="1"/>
  <cols>
    <col min="1" max="1" width="29.28515625" customWidth="1"/>
    <col min="2" max="2" width="38.7109375" customWidth="1"/>
    <col min="3" max="3" width="26.28515625" customWidth="1"/>
    <col min="4" max="4" width="27.7109375" customWidth="1"/>
  </cols>
  <sheetData>
    <row r="2" spans="1:4" ht="15.75" customHeight="1">
      <c r="A2" s="13" t="s">
        <v>148</v>
      </c>
      <c r="B2" s="13" t="s">
        <v>149</v>
      </c>
      <c r="C2" s="13" t="s">
        <v>150</v>
      </c>
      <c r="D2" s="13" t="s">
        <v>137</v>
      </c>
    </row>
    <row r="3" spans="1:4" ht="15.75" customHeight="1">
      <c r="A3" s="12" t="s">
        <v>151</v>
      </c>
      <c r="B3" s="32">
        <v>18450</v>
      </c>
      <c r="C3" s="32">
        <v>2120</v>
      </c>
      <c r="D3" s="33" t="s">
        <v>152</v>
      </c>
    </row>
    <row r="4" spans="1:4" ht="15.75" customHeight="1">
      <c r="A4" s="12" t="s">
        <v>153</v>
      </c>
      <c r="B4" s="32">
        <v>36800</v>
      </c>
      <c r="C4" s="32">
        <v>4020</v>
      </c>
      <c r="D4" s="33" t="s">
        <v>154</v>
      </c>
    </row>
    <row r="5" spans="1:4" ht="15.75" customHeight="1">
      <c r="A5" s="12" t="s">
        <v>155</v>
      </c>
      <c r="B5" s="32">
        <v>15600</v>
      </c>
      <c r="C5" s="32">
        <v>1720</v>
      </c>
      <c r="D5" s="33" t="s">
        <v>156</v>
      </c>
    </row>
    <row r="6" spans="1:4" ht="15.75" customHeight="1">
      <c r="A6" s="12" t="s">
        <v>157</v>
      </c>
      <c r="B6" s="32">
        <v>13900</v>
      </c>
      <c r="C6" s="32">
        <v>1350</v>
      </c>
      <c r="D6" s="33" t="s">
        <v>158</v>
      </c>
    </row>
    <row r="7" spans="1:4" ht="15.75" customHeight="1">
      <c r="A7" s="12" t="s">
        <v>159</v>
      </c>
      <c r="B7" s="32">
        <v>4850</v>
      </c>
      <c r="C7" s="12">
        <v>480</v>
      </c>
      <c r="D7" s="33" t="s">
        <v>160</v>
      </c>
    </row>
    <row r="8" spans="1:4" ht="15.75" customHeight="1">
      <c r="A8" s="34"/>
      <c r="B8" s="34"/>
      <c r="C8" s="34"/>
      <c r="D8" s="34"/>
    </row>
    <row r="9" spans="1:4" ht="15.75" customHeight="1">
      <c r="A9" s="34"/>
      <c r="B9" s="34"/>
      <c r="C9" s="34"/>
      <c r="D9" s="34"/>
    </row>
    <row r="10" spans="1:4" ht="15.75" customHeight="1">
      <c r="A10" s="13" t="s">
        <v>161</v>
      </c>
      <c r="B10" s="13" t="s">
        <v>137</v>
      </c>
      <c r="C10" s="34"/>
      <c r="D10" s="34"/>
    </row>
    <row r="11" spans="1:4" ht="15.75" customHeight="1">
      <c r="A11" s="12" t="s">
        <v>130</v>
      </c>
      <c r="B11" s="33" t="s">
        <v>162</v>
      </c>
      <c r="C11" s="34"/>
      <c r="D11" s="34"/>
    </row>
    <row r="12" spans="1:4" ht="15.75" customHeight="1">
      <c r="A12" s="12" t="s">
        <v>132</v>
      </c>
      <c r="B12" s="33" t="s">
        <v>163</v>
      </c>
      <c r="C12" s="34"/>
      <c r="D12" s="34"/>
    </row>
    <row r="13" spans="1:4" ht="15.75" customHeight="1">
      <c r="A13" s="12" t="s">
        <v>134</v>
      </c>
      <c r="B13" s="33" t="s">
        <v>160</v>
      </c>
      <c r="C13" s="34"/>
      <c r="D13" s="34"/>
    </row>
    <row r="14" spans="1:4" ht="15.75" customHeight="1">
      <c r="A14" s="34"/>
      <c r="B14" s="34"/>
      <c r="C14" s="34"/>
      <c r="D14" s="34"/>
    </row>
    <row r="15" spans="1:4" ht="15.75" customHeight="1">
      <c r="A15" s="12" t="s">
        <v>164</v>
      </c>
      <c r="B15" s="34"/>
      <c r="C15" s="34"/>
      <c r="D15" s="34"/>
    </row>
    <row r="16" spans="1:4" ht="15.75" customHeight="1">
      <c r="A16" s="21"/>
      <c r="B16" s="21"/>
      <c r="C16" s="21"/>
      <c r="D16" s="21"/>
    </row>
    <row r="17" spans="1:4" ht="15.75" customHeight="1">
      <c r="A17" s="21"/>
      <c r="B17" s="21"/>
      <c r="C17" s="21"/>
      <c r="D17" s="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D30"/>
  <sheetViews>
    <sheetView workbookViewId="0">
      <selection activeCell="C36" sqref="C36"/>
    </sheetView>
  </sheetViews>
  <sheetFormatPr defaultColWidth="12.7109375" defaultRowHeight="15.75" customHeight="1"/>
  <cols>
    <col min="1" max="1" width="45.140625" customWidth="1"/>
    <col min="2" max="2" width="29.28515625" customWidth="1"/>
    <col min="3" max="3" width="33.85546875" customWidth="1"/>
    <col min="4" max="4" width="24.140625" customWidth="1"/>
  </cols>
  <sheetData>
    <row r="2" spans="1:4" ht="15.75" customHeight="1">
      <c r="A2" s="13" t="s">
        <v>165</v>
      </c>
      <c r="B2" s="13" t="s">
        <v>13</v>
      </c>
      <c r="C2" s="35"/>
      <c r="D2" s="35"/>
    </row>
    <row r="3" spans="1:4" ht="15.75" customHeight="1">
      <c r="A3" s="36" t="s">
        <v>166</v>
      </c>
      <c r="B3" s="36" t="s">
        <v>167</v>
      </c>
      <c r="C3" s="35"/>
      <c r="D3" s="35"/>
    </row>
    <row r="4" spans="1:4" ht="15.75" customHeight="1">
      <c r="A4" s="36" t="s">
        <v>48</v>
      </c>
      <c r="B4" s="36" t="s">
        <v>168</v>
      </c>
      <c r="C4" s="35"/>
      <c r="D4" s="35"/>
    </row>
    <row r="5" spans="1:4" ht="15.75" customHeight="1">
      <c r="A5" s="36" t="s">
        <v>49</v>
      </c>
      <c r="B5" s="36" t="s">
        <v>169</v>
      </c>
      <c r="C5" s="35"/>
      <c r="D5" s="35"/>
    </row>
    <row r="6" spans="1:4" ht="15.75" customHeight="1">
      <c r="A6" s="35"/>
      <c r="B6" s="35"/>
      <c r="C6" s="35"/>
      <c r="D6" s="35"/>
    </row>
    <row r="7" spans="1:4" ht="15.75" customHeight="1">
      <c r="A7" s="35"/>
      <c r="B7" s="35"/>
      <c r="C7" s="35"/>
      <c r="D7" s="35"/>
    </row>
    <row r="8" spans="1:4" ht="18">
      <c r="A8" s="12" t="s">
        <v>170</v>
      </c>
      <c r="B8" s="36"/>
      <c r="C8" s="36"/>
      <c r="D8" s="35"/>
    </row>
    <row r="9" spans="1:4" ht="18">
      <c r="D9" s="35"/>
    </row>
    <row r="10" spans="1:4" ht="18">
      <c r="A10" s="13" t="s">
        <v>171</v>
      </c>
      <c r="B10" s="13" t="s">
        <v>137</v>
      </c>
      <c r="C10" s="13" t="s">
        <v>172</v>
      </c>
      <c r="D10" s="35"/>
    </row>
    <row r="11" spans="1:4" ht="18">
      <c r="A11" s="12" t="s">
        <v>138</v>
      </c>
      <c r="B11" s="12" t="s">
        <v>162</v>
      </c>
      <c r="C11" s="38">
        <v>8858</v>
      </c>
      <c r="D11" s="35"/>
    </row>
    <row r="12" spans="1:4" ht="18">
      <c r="A12" s="12" t="s">
        <v>132</v>
      </c>
      <c r="B12" s="12" t="s">
        <v>163</v>
      </c>
      <c r="C12" s="38">
        <v>9579</v>
      </c>
      <c r="D12" s="35"/>
    </row>
    <row r="13" spans="1:4" ht="18">
      <c r="A13" s="12" t="s">
        <v>141</v>
      </c>
      <c r="B13" s="12" t="s">
        <v>160</v>
      </c>
      <c r="C13" s="38">
        <v>10403</v>
      </c>
      <c r="D13" s="35"/>
    </row>
    <row r="14" spans="1:4" ht="15.75" customHeight="1">
      <c r="A14" s="35"/>
      <c r="B14" s="35"/>
      <c r="C14" s="35"/>
      <c r="D14" s="35"/>
    </row>
    <row r="15" spans="1:4" ht="15.75" customHeight="1">
      <c r="A15" s="35"/>
      <c r="B15" s="35"/>
      <c r="C15" s="35"/>
      <c r="D15" s="35"/>
    </row>
    <row r="16" spans="1:4" ht="18">
      <c r="A16" s="12" t="s">
        <v>115</v>
      </c>
      <c r="B16" s="35"/>
      <c r="C16" s="35"/>
      <c r="D16" s="35"/>
    </row>
    <row r="17" spans="1:4" ht="12.95"/>
    <row r="18" spans="1:4" ht="18">
      <c r="A18" s="13" t="s">
        <v>171</v>
      </c>
      <c r="B18" s="13" t="s">
        <v>138</v>
      </c>
      <c r="C18" s="13" t="s">
        <v>132</v>
      </c>
      <c r="D18" s="13" t="s">
        <v>141</v>
      </c>
    </row>
    <row r="19" spans="1:4" ht="18">
      <c r="A19" s="12" t="s">
        <v>173</v>
      </c>
      <c r="B19" s="32">
        <v>8858</v>
      </c>
      <c r="C19" s="32">
        <v>9579</v>
      </c>
      <c r="D19" s="32">
        <v>10403</v>
      </c>
    </row>
    <row r="20" spans="1:4" ht="18">
      <c r="A20" s="12" t="s">
        <v>174</v>
      </c>
      <c r="B20" s="32">
        <v>-3200</v>
      </c>
      <c r="C20" s="32">
        <v>-3200</v>
      </c>
      <c r="D20" s="32">
        <v>-3200</v>
      </c>
    </row>
    <row r="21" spans="1:4" ht="15.75" customHeight="1">
      <c r="A21" s="12" t="s">
        <v>175</v>
      </c>
      <c r="B21" s="38">
        <v>5658</v>
      </c>
      <c r="C21" s="38">
        <v>6379</v>
      </c>
      <c r="D21" s="38">
        <v>7203</v>
      </c>
    </row>
    <row r="22" spans="1:4" ht="18">
      <c r="A22" s="12" t="s">
        <v>176</v>
      </c>
      <c r="B22" s="35"/>
      <c r="C22" s="35"/>
      <c r="D22" s="35"/>
    </row>
    <row r="23" spans="1:4" ht="18">
      <c r="A23" s="12"/>
      <c r="B23" s="35"/>
      <c r="C23" s="35"/>
      <c r="D23" s="35"/>
    </row>
    <row r="24" spans="1:4" ht="18">
      <c r="A24" s="12"/>
      <c r="B24" s="35"/>
      <c r="C24" s="35"/>
      <c r="D24" s="35"/>
    </row>
    <row r="25" spans="1:4" ht="18">
      <c r="A25" s="12"/>
      <c r="B25" s="35"/>
      <c r="C25" s="35"/>
      <c r="D25" s="35"/>
    </row>
    <row r="26" spans="1:4" ht="12.95"/>
    <row r="27" spans="1:4" ht="18">
      <c r="A27" s="13" t="s">
        <v>171</v>
      </c>
      <c r="B27" s="13" t="s">
        <v>177</v>
      </c>
      <c r="C27" s="13" t="s">
        <v>178</v>
      </c>
      <c r="D27" s="13" t="s">
        <v>22</v>
      </c>
    </row>
    <row r="28" spans="1:4" ht="18">
      <c r="A28" s="12" t="s">
        <v>138</v>
      </c>
      <c r="B28" s="32">
        <v>5658</v>
      </c>
      <c r="C28" s="12">
        <v>110</v>
      </c>
      <c r="D28" s="37">
        <v>51.4</v>
      </c>
    </row>
    <row r="29" spans="1:4" ht="18">
      <c r="A29" s="40" t="s">
        <v>132</v>
      </c>
      <c r="B29" s="41">
        <v>6379</v>
      </c>
      <c r="C29" s="40">
        <v>110</v>
      </c>
      <c r="D29" s="42">
        <v>58</v>
      </c>
    </row>
    <row r="30" spans="1:4" ht="15.75" customHeight="1">
      <c r="A30" s="12" t="s">
        <v>141</v>
      </c>
      <c r="B30" s="32">
        <v>7203</v>
      </c>
      <c r="C30" s="12">
        <v>110</v>
      </c>
      <c r="D30" s="37">
        <v>65.5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F19"/>
  <sheetViews>
    <sheetView workbookViewId="0">
      <selection activeCell="F15" sqref="F15"/>
    </sheetView>
  </sheetViews>
  <sheetFormatPr defaultColWidth="12.7109375" defaultRowHeight="15.75" customHeight="1"/>
  <cols>
    <col min="1" max="1" width="36" customWidth="1"/>
    <col min="2" max="2" width="38.85546875" customWidth="1"/>
    <col min="3" max="3" width="24.42578125" customWidth="1"/>
    <col min="4" max="4" width="25" customWidth="1"/>
    <col min="5" max="5" width="30.85546875" customWidth="1"/>
    <col min="6" max="6" width="25.85546875" customWidth="1"/>
  </cols>
  <sheetData>
    <row r="3" spans="1:6" ht="15.75" customHeight="1">
      <c r="A3" s="13" t="s">
        <v>2</v>
      </c>
      <c r="B3" s="13" t="s">
        <v>4</v>
      </c>
      <c r="C3" s="13" t="s">
        <v>179</v>
      </c>
      <c r="D3" s="13" t="s">
        <v>180</v>
      </c>
      <c r="E3" s="13" t="s">
        <v>150</v>
      </c>
      <c r="F3" s="13" t="s">
        <v>137</v>
      </c>
    </row>
    <row r="4" spans="1:6" ht="15.75" customHeight="1">
      <c r="A4" s="36" t="s">
        <v>151</v>
      </c>
      <c r="B4" s="36" t="s">
        <v>181</v>
      </c>
      <c r="C4" s="36">
        <v>2016</v>
      </c>
      <c r="D4" s="39">
        <v>4900</v>
      </c>
      <c r="E4" s="36">
        <v>540</v>
      </c>
      <c r="F4" s="33" t="s">
        <v>156</v>
      </c>
    </row>
    <row r="5" spans="1:6" ht="15.75" customHeight="1">
      <c r="A5" s="36" t="s">
        <v>153</v>
      </c>
      <c r="B5" s="36" t="s">
        <v>182</v>
      </c>
      <c r="C5" s="36">
        <v>2022</v>
      </c>
      <c r="D5" s="39">
        <v>2200</v>
      </c>
      <c r="E5" s="36">
        <v>240</v>
      </c>
      <c r="F5" s="33" t="s">
        <v>154</v>
      </c>
    </row>
    <row r="6" spans="1:6" ht="15.75" customHeight="1">
      <c r="A6" s="36" t="s">
        <v>155</v>
      </c>
      <c r="B6" s="36" t="s">
        <v>183</v>
      </c>
      <c r="C6" s="36">
        <v>2021</v>
      </c>
      <c r="D6" s="39">
        <v>1850</v>
      </c>
      <c r="E6" s="36">
        <v>195</v>
      </c>
      <c r="F6" s="33" t="s">
        <v>184</v>
      </c>
    </row>
    <row r="7" spans="1:6" ht="15.75" customHeight="1">
      <c r="A7" s="36" t="s">
        <v>185</v>
      </c>
      <c r="B7" s="36" t="s">
        <v>186</v>
      </c>
      <c r="C7" s="36">
        <v>2020</v>
      </c>
      <c r="D7" s="39">
        <v>4600</v>
      </c>
      <c r="E7" s="36">
        <v>470</v>
      </c>
      <c r="F7" s="33" t="s">
        <v>187</v>
      </c>
    </row>
    <row r="8" spans="1:6" ht="15.75" customHeight="1">
      <c r="A8" s="36" t="s">
        <v>157</v>
      </c>
      <c r="B8" s="36" t="s">
        <v>188</v>
      </c>
      <c r="C8" s="36">
        <v>2019</v>
      </c>
      <c r="D8" s="39">
        <v>1150</v>
      </c>
      <c r="E8" s="36">
        <v>110</v>
      </c>
      <c r="F8" s="33" t="s">
        <v>189</v>
      </c>
    </row>
    <row r="9" spans="1:6" ht="15.75" customHeight="1">
      <c r="A9" s="36"/>
      <c r="B9" s="36"/>
      <c r="C9" s="36"/>
      <c r="D9" s="39"/>
      <c r="E9" s="36"/>
      <c r="F9" s="36"/>
    </row>
    <row r="10" spans="1:6" ht="15.75" customHeight="1">
      <c r="A10" s="36"/>
      <c r="B10" s="36"/>
      <c r="C10" s="36"/>
      <c r="D10" s="39"/>
      <c r="E10" s="36"/>
      <c r="F10" s="36"/>
    </row>
    <row r="11" spans="1:6" ht="15.75" customHeight="1">
      <c r="A11" s="36"/>
      <c r="B11" s="36"/>
      <c r="C11" s="36"/>
      <c r="D11" s="39"/>
      <c r="E11" s="36"/>
      <c r="F11" s="36"/>
    </row>
    <row r="12" spans="1:6" ht="18">
      <c r="A12" s="12" t="s">
        <v>190</v>
      </c>
      <c r="B12" s="35"/>
      <c r="C12" s="35"/>
      <c r="D12" s="35"/>
      <c r="E12" s="35"/>
      <c r="F12" s="35"/>
    </row>
    <row r="13" spans="1:6" ht="18">
      <c r="C13" s="35"/>
      <c r="D13" s="35"/>
      <c r="E13" s="35"/>
      <c r="F13" s="35"/>
    </row>
    <row r="14" spans="1:6" ht="18">
      <c r="A14" s="13" t="s">
        <v>161</v>
      </c>
      <c r="B14" s="13" t="s">
        <v>137</v>
      </c>
      <c r="C14" s="35"/>
      <c r="D14" s="35"/>
      <c r="E14" s="35"/>
      <c r="F14" s="35"/>
    </row>
    <row r="15" spans="1:6" ht="18">
      <c r="A15" s="12" t="s">
        <v>138</v>
      </c>
      <c r="B15" s="33" t="s">
        <v>191</v>
      </c>
      <c r="C15" s="35"/>
      <c r="D15" s="35"/>
      <c r="E15" s="35"/>
      <c r="F15" s="35"/>
    </row>
    <row r="16" spans="1:6" ht="18">
      <c r="A16" s="12" t="s">
        <v>132</v>
      </c>
      <c r="B16" s="33" t="s">
        <v>187</v>
      </c>
      <c r="C16" s="35"/>
      <c r="D16" s="35"/>
      <c r="E16" s="35"/>
      <c r="F16" s="35"/>
    </row>
    <row r="17" spans="1:6" ht="15.75" customHeight="1">
      <c r="A17" s="12" t="s">
        <v>141</v>
      </c>
      <c r="B17" s="33" t="s">
        <v>189</v>
      </c>
      <c r="C17" s="35"/>
      <c r="D17" s="35"/>
      <c r="E17" s="35"/>
      <c r="F17" s="35"/>
    </row>
    <row r="18" spans="1:6" ht="15.75" customHeight="1">
      <c r="A18" s="35"/>
      <c r="B18" s="35"/>
      <c r="C18" s="35"/>
      <c r="D18" s="35"/>
      <c r="E18" s="35"/>
      <c r="F18" s="35"/>
    </row>
    <row r="19" spans="1:6" ht="15.75" customHeight="1">
      <c r="A19" s="12" t="s">
        <v>192</v>
      </c>
      <c r="B19" s="35"/>
      <c r="C19" s="35"/>
      <c r="D19" s="35"/>
      <c r="E19" s="35"/>
      <c r="F19" s="35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F35"/>
  <sheetViews>
    <sheetView workbookViewId="0">
      <selection activeCell="I26" sqref="I26"/>
    </sheetView>
  </sheetViews>
  <sheetFormatPr defaultColWidth="12.7109375" defaultRowHeight="15.75" customHeight="1"/>
  <cols>
    <col min="1" max="1" width="60.7109375" customWidth="1"/>
    <col min="2" max="2" width="30.28515625" customWidth="1"/>
    <col min="3" max="3" width="34.85546875" customWidth="1"/>
    <col min="4" max="4" width="24.7109375" customWidth="1"/>
  </cols>
  <sheetData>
    <row r="2" spans="1:6" ht="15.75" customHeight="1">
      <c r="A2" s="12" t="s">
        <v>193</v>
      </c>
      <c r="B2" s="35"/>
      <c r="C2" s="35"/>
      <c r="D2" s="35"/>
      <c r="E2" s="35"/>
      <c r="F2" s="35"/>
    </row>
    <row r="3" spans="1:6" ht="15.75" customHeight="1">
      <c r="C3" s="35"/>
      <c r="D3" s="35"/>
      <c r="E3" s="35"/>
      <c r="F3" s="35"/>
    </row>
    <row r="4" spans="1:6" ht="15.75" customHeight="1">
      <c r="A4" s="13" t="s">
        <v>165</v>
      </c>
      <c r="B4" s="13" t="s">
        <v>13</v>
      </c>
      <c r="C4" s="35"/>
      <c r="D4" s="35"/>
      <c r="E4" s="35"/>
      <c r="F4" s="35"/>
    </row>
    <row r="5" spans="1:6" ht="15.75" customHeight="1">
      <c r="A5" s="12" t="s">
        <v>166</v>
      </c>
      <c r="B5" s="12" t="s">
        <v>167</v>
      </c>
      <c r="C5" s="35"/>
      <c r="D5" s="35"/>
      <c r="E5" s="35"/>
      <c r="F5" s="35"/>
    </row>
    <row r="6" spans="1:6" ht="15.75" customHeight="1">
      <c r="A6" s="12" t="s">
        <v>48</v>
      </c>
      <c r="B6" s="12" t="s">
        <v>168</v>
      </c>
      <c r="C6" s="35"/>
      <c r="D6" s="35"/>
      <c r="E6" s="35"/>
      <c r="F6" s="35"/>
    </row>
    <row r="7" spans="1:6" ht="15.75" customHeight="1">
      <c r="A7" s="12" t="s">
        <v>49</v>
      </c>
      <c r="B7" s="12" t="s">
        <v>169</v>
      </c>
      <c r="C7" s="35"/>
      <c r="D7" s="35"/>
      <c r="E7" s="35"/>
      <c r="F7" s="35"/>
    </row>
    <row r="8" spans="1:6" ht="15.75" customHeight="1">
      <c r="A8" s="12"/>
      <c r="B8" s="12"/>
      <c r="C8" s="35"/>
      <c r="D8" s="35"/>
      <c r="E8" s="35"/>
      <c r="F8" s="35"/>
    </row>
    <row r="9" spans="1:6" ht="15.75" customHeight="1">
      <c r="A9" s="12"/>
      <c r="B9" s="12"/>
      <c r="C9" s="35"/>
      <c r="D9" s="35"/>
      <c r="E9" s="35"/>
      <c r="F9" s="35"/>
    </row>
    <row r="10" spans="1:6" ht="15.75" customHeight="1">
      <c r="A10" s="12"/>
      <c r="B10" s="12"/>
      <c r="C10" s="35"/>
      <c r="D10" s="35"/>
      <c r="E10" s="35"/>
      <c r="F10" s="35"/>
    </row>
    <row r="11" spans="1:6" ht="15.75" customHeight="1">
      <c r="A11" s="12" t="s">
        <v>194</v>
      </c>
      <c r="B11" s="35"/>
      <c r="C11" s="35"/>
      <c r="D11" s="35"/>
      <c r="E11" s="35"/>
      <c r="F11" s="35"/>
    </row>
    <row r="12" spans="1:6" ht="15.75" customHeight="1">
      <c r="D12" s="35"/>
      <c r="E12" s="35"/>
      <c r="F12" s="35"/>
    </row>
    <row r="13" spans="1:6" ht="15.75" customHeight="1">
      <c r="A13" s="13" t="s">
        <v>171</v>
      </c>
      <c r="B13" s="13" t="s">
        <v>137</v>
      </c>
      <c r="C13" s="13" t="s">
        <v>172</v>
      </c>
      <c r="D13" s="35"/>
      <c r="E13" s="35"/>
      <c r="F13" s="35"/>
    </row>
    <row r="14" spans="1:6" ht="15.75" customHeight="1">
      <c r="A14" s="12" t="s">
        <v>138</v>
      </c>
      <c r="B14" s="12" t="s">
        <v>191</v>
      </c>
      <c r="C14" s="38">
        <v>9270</v>
      </c>
      <c r="D14" s="35"/>
      <c r="E14" s="35"/>
      <c r="F14" s="35"/>
    </row>
    <row r="15" spans="1:6" ht="15.75" customHeight="1">
      <c r="A15" s="12" t="s">
        <v>132</v>
      </c>
      <c r="B15" s="12" t="s">
        <v>187</v>
      </c>
      <c r="C15" s="38">
        <v>10094</v>
      </c>
      <c r="D15" s="35"/>
      <c r="E15" s="35"/>
      <c r="F15" s="35"/>
    </row>
    <row r="16" spans="1:6" ht="15.75" customHeight="1">
      <c r="A16" s="12" t="s">
        <v>141</v>
      </c>
      <c r="B16" s="12" t="s">
        <v>189</v>
      </c>
      <c r="C16" s="38">
        <v>10815</v>
      </c>
      <c r="D16" s="35"/>
      <c r="E16" s="35"/>
      <c r="F16" s="35"/>
    </row>
    <row r="17" spans="1:6" ht="15.75" customHeight="1">
      <c r="A17" s="12"/>
      <c r="B17" s="12"/>
      <c r="C17" s="32"/>
      <c r="D17" s="35"/>
      <c r="E17" s="35"/>
      <c r="F17" s="35"/>
    </row>
    <row r="18" spans="1:6" ht="15.75" customHeight="1">
      <c r="A18" s="12"/>
      <c r="B18" s="12"/>
      <c r="C18" s="32"/>
      <c r="D18" s="35"/>
      <c r="E18" s="35"/>
      <c r="F18" s="35"/>
    </row>
    <row r="19" spans="1:6" ht="15.75" customHeight="1">
      <c r="A19" s="12"/>
      <c r="B19" s="12"/>
      <c r="C19" s="32"/>
      <c r="D19" s="35"/>
      <c r="E19" s="35"/>
      <c r="F19" s="35"/>
    </row>
    <row r="20" spans="1:6" ht="15.75" customHeight="1">
      <c r="A20" s="12"/>
      <c r="B20" s="12"/>
      <c r="C20" s="32"/>
      <c r="D20" s="35"/>
      <c r="E20" s="35"/>
      <c r="F20" s="35"/>
    </row>
    <row r="21" spans="1:6" ht="15.75" customHeight="1">
      <c r="A21" s="12" t="s">
        <v>115</v>
      </c>
      <c r="B21" s="35"/>
      <c r="C21" s="35"/>
      <c r="D21" s="35"/>
      <c r="E21" s="35"/>
      <c r="F21" s="35"/>
    </row>
    <row r="22" spans="1:6" ht="15.75" customHeight="1">
      <c r="E22" s="35"/>
      <c r="F22" s="35"/>
    </row>
    <row r="23" spans="1:6" ht="15.75" customHeight="1">
      <c r="A23" s="13" t="s">
        <v>171</v>
      </c>
      <c r="B23" s="13" t="s">
        <v>138</v>
      </c>
      <c r="C23" s="13" t="s">
        <v>132</v>
      </c>
      <c r="D23" s="13" t="s">
        <v>141</v>
      </c>
      <c r="E23" s="35"/>
      <c r="F23" s="35"/>
    </row>
    <row r="24" spans="1:6" ht="15.75" customHeight="1">
      <c r="A24" s="12" t="s">
        <v>173</v>
      </c>
      <c r="B24" s="32">
        <v>9270</v>
      </c>
      <c r="C24" s="32">
        <v>10094</v>
      </c>
      <c r="D24" s="32">
        <v>10815</v>
      </c>
      <c r="E24" s="35"/>
      <c r="F24" s="35"/>
    </row>
    <row r="25" spans="1:6" ht="15.75" customHeight="1">
      <c r="A25" s="12" t="s">
        <v>174</v>
      </c>
      <c r="B25" s="32">
        <v>-3200</v>
      </c>
      <c r="C25" s="32">
        <v>-3200</v>
      </c>
      <c r="D25" s="32">
        <v>-3200</v>
      </c>
      <c r="E25" s="35"/>
      <c r="F25" s="35"/>
    </row>
    <row r="26" spans="1:6" ht="15.75" customHeight="1">
      <c r="A26" s="12" t="s">
        <v>175</v>
      </c>
      <c r="B26" s="38">
        <v>6070</v>
      </c>
      <c r="C26" s="38">
        <v>6894</v>
      </c>
      <c r="D26" s="38">
        <v>7615</v>
      </c>
      <c r="E26" s="35"/>
      <c r="F26" s="35"/>
    </row>
    <row r="27" spans="1:6" ht="15.75" customHeight="1">
      <c r="A27" s="12"/>
      <c r="B27" s="38"/>
      <c r="C27" s="38"/>
      <c r="D27" s="38"/>
      <c r="E27" s="35"/>
      <c r="F27" s="35"/>
    </row>
    <row r="28" spans="1:6" ht="15.75" customHeight="1">
      <c r="A28" s="12"/>
      <c r="B28" s="38"/>
      <c r="C28" s="38"/>
      <c r="D28" s="38"/>
      <c r="E28" s="35"/>
      <c r="F28" s="35"/>
    </row>
    <row r="29" spans="1:6" ht="15.75" customHeight="1">
      <c r="A29" s="12"/>
      <c r="B29" s="38"/>
      <c r="C29" s="38"/>
      <c r="D29" s="38"/>
      <c r="E29" s="35"/>
      <c r="F29" s="35"/>
    </row>
    <row r="30" spans="1:6" ht="15.75" customHeight="1">
      <c r="A30" s="12" t="s">
        <v>195</v>
      </c>
      <c r="B30" s="35"/>
      <c r="C30" s="35"/>
      <c r="D30" s="35"/>
      <c r="E30" s="35"/>
      <c r="F30" s="35"/>
    </row>
    <row r="31" spans="1:6" ht="15.75" customHeight="1">
      <c r="E31" s="35"/>
      <c r="F31" s="35"/>
    </row>
    <row r="32" spans="1:6" ht="15.75" customHeight="1">
      <c r="A32" s="13" t="s">
        <v>171</v>
      </c>
      <c r="B32" s="13" t="s">
        <v>177</v>
      </c>
      <c r="C32" s="13" t="s">
        <v>178</v>
      </c>
      <c r="D32" s="13" t="s">
        <v>22</v>
      </c>
      <c r="E32" s="35"/>
      <c r="F32" s="35"/>
    </row>
    <row r="33" spans="1:6" ht="15.75" customHeight="1">
      <c r="A33" s="12" t="s">
        <v>138</v>
      </c>
      <c r="B33" s="32">
        <v>6070</v>
      </c>
      <c r="C33" s="12">
        <v>110</v>
      </c>
      <c r="D33" s="37">
        <v>55.2</v>
      </c>
      <c r="E33" s="35"/>
      <c r="F33" s="35"/>
    </row>
    <row r="34" spans="1:6" ht="15.75" customHeight="1">
      <c r="A34" s="40" t="s">
        <v>132</v>
      </c>
      <c r="B34" s="41">
        <v>6894</v>
      </c>
      <c r="C34" s="40">
        <v>110</v>
      </c>
      <c r="D34" s="42">
        <v>62.7</v>
      </c>
      <c r="E34" s="35"/>
      <c r="F34" s="35"/>
    </row>
    <row r="35" spans="1:6" ht="15.75" customHeight="1">
      <c r="A35" s="12" t="s">
        <v>141</v>
      </c>
      <c r="B35" s="32">
        <v>7615</v>
      </c>
      <c r="C35" s="12">
        <v>110</v>
      </c>
      <c r="D35" s="37">
        <v>69.2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2026-01-21T02:41:55Z</dcterms:created>
  <dcterms:modified xsi:type="dcterms:W3CDTF">2026-02-01T13:43:51Z</dcterms:modified>
  <cp:category/>
  <cp:contentStatus/>
</cp:coreProperties>
</file>