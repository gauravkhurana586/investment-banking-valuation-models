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uaravkhurana586/Desktop/Final Check List/HD Supplies KKR/"/>
    </mc:Choice>
  </mc:AlternateContent>
  <xr:revisionPtr revIDLastSave="0" documentId="13_ncr:1_{A5B0636A-6435-064B-9AE3-C3A93698B99C}" xr6:coauthVersionLast="47" xr6:coauthVersionMax="47" xr10:uidLastSave="{00000000-0000-0000-0000-000000000000}"/>
  <bookViews>
    <workbookView xWindow="0" yWindow="500" windowWidth="28800" windowHeight="16620" firstSheet="2" activeTab="9" xr2:uid="{0EA5A3B3-02F9-EF4D-9619-53E716F248FF}"/>
  </bookViews>
  <sheets>
    <sheet name="Deal Overview " sheetId="1" r:id="rId1"/>
    <sheet name="Operating Assumptions" sheetId="8" r:id="rId2"/>
    <sheet name="Historical Financials" sheetId="9" r:id="rId3"/>
    <sheet name="Operating Projections" sheetId="10" r:id="rId4"/>
    <sheet name="Free Cash Flow &amp; Cash Avialable" sheetId="11" r:id="rId5"/>
    <sheet name="Sources and Uses" sheetId="12" r:id="rId6"/>
    <sheet name="Debt Schedule &amp; Cash sweep" sheetId="13" r:id="rId7"/>
    <sheet name="Exit Analysis" sheetId="14" r:id="rId8"/>
    <sheet name="Returns Summary" sheetId="15" r:id="rId9"/>
    <sheet name="Sensitivities &amp; Downside" sheetId="1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4" l="1"/>
  <c r="B19" i="14"/>
  <c r="B10" i="14"/>
  <c r="B18" i="12"/>
  <c r="B17" i="12"/>
  <c r="E8" i="12"/>
  <c r="B6" i="12"/>
</calcChain>
</file>

<file path=xl/sharedStrings.xml><?xml version="1.0" encoding="utf-8"?>
<sst xmlns="http://schemas.openxmlformats.org/spreadsheetml/2006/main" count="294" uniqueCount="188">
  <si>
    <t>Deal Overview</t>
  </si>
  <si>
    <t>Item</t>
  </si>
  <si>
    <t>Value</t>
  </si>
  <si>
    <t>Target</t>
  </si>
  <si>
    <t>HD Supply</t>
  </si>
  <si>
    <t>Sponsor</t>
  </si>
  <si>
    <t>KKR</t>
  </si>
  <si>
    <t>Transaction Type</t>
  </si>
  <si>
    <t>Leveraged Buyout</t>
  </si>
  <si>
    <t>Industry</t>
  </si>
  <si>
    <t>Industrial Distribution</t>
  </si>
  <si>
    <t>Holding Period</t>
  </si>
  <si>
    <t>5.0 Years</t>
  </si>
  <si>
    <t>Entry Valuation</t>
  </si>
  <si>
    <t>Metric</t>
  </si>
  <si>
    <t>Target Value</t>
  </si>
  <si>
    <t>LTM EBITDA</t>
  </si>
  <si>
    <t>$1,050 mm</t>
  </si>
  <si>
    <t>Entry EV</t>
  </si>
  <si>
    <t>$8,200 mm</t>
  </si>
  <si>
    <t>Entry EV / EBITDA</t>
  </si>
  <si>
    <t>7.8x</t>
  </si>
  <si>
    <t>Capital Structure at Entry</t>
  </si>
  <si>
    <t>Debt / EV</t>
  </si>
  <si>
    <t>Equity / EV</t>
  </si>
  <si>
    <t>Total Debt</t>
  </si>
  <si>
    <t>$5,900 mm</t>
  </si>
  <si>
    <t>Equity Invested</t>
  </si>
  <si>
    <t>$2,300 mm</t>
  </si>
  <si>
    <t>Exit Assumptions</t>
  </si>
  <si>
    <t>Base Case</t>
  </si>
  <si>
    <t>Exit Year</t>
  </si>
  <si>
    <t>Year 5</t>
  </si>
  <si>
    <t>Exit EBITDA</t>
  </si>
  <si>
    <t>$1,350 mm</t>
  </si>
  <si>
    <t>Exit EV / EBITDA</t>
  </si>
  <si>
    <t>7.5x</t>
  </si>
  <si>
    <t>Exit EV</t>
  </si>
  <si>
    <t>$10,100 mm</t>
  </si>
  <si>
    <t>Returns Outputs</t>
  </si>
  <si>
    <t>Target Outcome</t>
  </si>
  <si>
    <t>MOIC</t>
  </si>
  <si>
    <t>2.1–2.3x</t>
  </si>
  <si>
    <t>IRR</t>
  </si>
  <si>
    <t>19–22%</t>
  </si>
  <si>
    <t>Returns driven primarily by free-cash-flow generation and aggressive deleveraging in a stable, asset-light industrial distribution platform, with no reliance on multiple expansion.</t>
  </si>
  <si>
    <t>Revenue Growth</t>
  </si>
  <si>
    <t>EBITDA Margin</t>
  </si>
  <si>
    <t>Revenue Growth Assumptions</t>
  </si>
  <si>
    <t>Year</t>
  </si>
  <si>
    <t>Growth %</t>
  </si>
  <si>
    <t>Year 1</t>
  </si>
  <si>
    <t>Year 2</t>
  </si>
  <si>
    <t>Year 3</t>
  </si>
  <si>
    <t>Year 4</t>
  </si>
  <si>
    <t>EBITDA Margin Assumptions</t>
  </si>
  <si>
    <t>EBITDA %</t>
  </si>
  <si>
    <t>LTM</t>
  </si>
  <si>
    <t>Capital Expenditure Asssumptions</t>
  </si>
  <si>
    <t>Capex Type</t>
  </si>
  <si>
    <t>% of Revenue</t>
  </si>
  <si>
    <t>Maintenance Capex</t>
  </si>
  <si>
    <t>Growth Capex</t>
  </si>
  <si>
    <t>Total Capex</t>
  </si>
  <si>
    <t>Net Working Capital Assumptions</t>
  </si>
  <si>
    <t>Assumption</t>
  </si>
  <si>
    <t>NWC (% of Revenue)</t>
  </si>
  <si>
    <t>Annual Change</t>
  </si>
  <si>
    <t>Improving by 0.2% / year</t>
  </si>
  <si>
    <t>Tax Assumptions</t>
  </si>
  <si>
    <t>Statutory Tax Rate</t>
  </si>
  <si>
    <t>Cash Tax Shield</t>
  </si>
  <si>
    <t>Minimal after Year 1</t>
  </si>
  <si>
    <t>Base case reflects modest organic growth, disciplined margin expansion, and improved working capital efficiency under KKR ownership. Returns driven primarily by free cash flow and deleveraging, not multiple expansion.</t>
  </si>
  <si>
    <t>Historical Income Statement</t>
  </si>
  <si>
    <t xml:space="preserve"> Metrics USD (mm)</t>
  </si>
  <si>
    <t>FY–2</t>
  </si>
  <si>
    <t>FY–1</t>
  </si>
  <si>
    <t>FY</t>
  </si>
  <si>
    <t>Revenue</t>
  </si>
  <si>
    <t>YoY Growth</t>
  </si>
  <si>
    <t>—</t>
  </si>
  <si>
    <t>EBITDA</t>
  </si>
  <si>
    <t>Cash flow Reference</t>
  </si>
  <si>
    <t>Metrics USD (mm)</t>
  </si>
  <si>
    <t>Capital Expenditures</t>
  </si>
  <si>
    <t>Capex (% Revenue)</t>
  </si>
  <si>
    <t>Cash Taxes</t>
  </si>
  <si>
    <t>EBITDA Bridge</t>
  </si>
  <si>
    <t>Driver</t>
  </si>
  <si>
    <t>Impact ($mm)</t>
  </si>
  <si>
    <t>Margin Expansion</t>
  </si>
  <si>
    <t>Cost Discipline</t>
  </si>
  <si>
    <t>Total EBITDA Increase</t>
  </si>
  <si>
    <t>Revenue Projection</t>
  </si>
  <si>
    <t>USD (mm)</t>
  </si>
  <si>
    <t>Y1</t>
  </si>
  <si>
    <t>Y2</t>
  </si>
  <si>
    <t>Y3</t>
  </si>
  <si>
    <t>Y4</t>
  </si>
  <si>
    <t>Y5</t>
  </si>
  <si>
    <t>EBITDA Projection</t>
  </si>
  <si>
    <t>EBITDA Margin %</t>
  </si>
  <si>
    <t>EBITDA Growth Bridge (LTM → Y5)</t>
  </si>
  <si>
    <t>Total EBITDA Growth</t>
  </si>
  <si>
    <t>EBITDA growth driven by modest organic revenue growth and incremental margin expansion under KKR operational ownership; no major restructuring assumed.</t>
  </si>
  <si>
    <t>Unlevered Free Cash Flow Calculation</t>
  </si>
  <si>
    <t>Less: Cash Taxes</t>
  </si>
  <si>
    <t>Less: Maintenance Capex</t>
  </si>
  <si>
    <t>Less: Growth Capex</t>
  </si>
  <si>
    <t>Less: Δ Net Working Capital</t>
  </si>
  <si>
    <t>Unlevered Free Cash Flow</t>
  </si>
  <si>
    <t>Cash Available for Debt Repayment</t>
  </si>
  <si>
    <t>Cash Available</t>
  </si>
  <si>
    <t>Free cash flow driven by modest EBITDA growth, disciplined capital spending, and improving working capital efficiency under KKR ownership.</t>
  </si>
  <si>
    <t>Uses of Funds</t>
  </si>
  <si>
    <t>Sources of Funds</t>
  </si>
  <si>
    <t>Amount</t>
  </si>
  <si>
    <t>Purchase Equity Value</t>
  </si>
  <si>
    <t>Term Loan B</t>
  </si>
  <si>
    <t>Transaction Fees</t>
  </si>
  <si>
    <t>Senior / Asset-Backed Debt</t>
  </si>
  <si>
    <t>Total Uses</t>
  </si>
  <si>
    <t>Sponsor Equity (KKR)</t>
  </si>
  <si>
    <t>Total Sources</t>
  </si>
  <si>
    <t>Entry Capitalization</t>
  </si>
  <si>
    <t>Enterprise Value</t>
  </si>
  <si>
    <t>Equity</t>
  </si>
  <si>
    <t>Debt Schedule &amp; Cash Sweep</t>
  </si>
  <si>
    <t>Close</t>
  </si>
  <si>
    <t>Opening Balance – Term Loan B</t>
  </si>
  <si>
    <t>Opening Balance – Asset-Backed / Senior</t>
  </si>
  <si>
    <t>Total Opening Debt</t>
  </si>
  <si>
    <t>Cash Available (from Sheet 5)</t>
  </si>
  <si>
    <t>Mandatory Amortization (TLB)</t>
  </si>
  <si>
    <t>Cash Sweep to TLB</t>
  </si>
  <si>
    <t>Cash Sweep to ABL</t>
  </si>
  <si>
    <t>Total Debt Repayment</t>
  </si>
  <si>
    <t>Ending Balance – Term Loan B</t>
  </si>
  <si>
    <t>Ending Balance – Asset-Backed / Senior</t>
  </si>
  <si>
    <t>Total Ending Debt</t>
  </si>
  <si>
    <t>Leverage Profile</t>
  </si>
  <si>
    <t>Net Debt / EBITDA</t>
  </si>
  <si>
    <t>7.1x</t>
  </si>
  <si>
    <t>4.1x</t>
  </si>
  <si>
    <t>2.6x</t>
  </si>
  <si>
    <t>Footnote: 100% excess cash is swept annually to senior Term Loan B after mandatory amortization; asset-backed facility assumed to remain undrawn for growth liquidity.</t>
  </si>
  <si>
    <t>Exit Assumptions &amp; Proceeds</t>
  </si>
  <si>
    <t>Exit Enterprise Value</t>
  </si>
  <si>
    <t>Less: Net Debt at Exit</t>
  </si>
  <si>
    <t>Equity Value at Exit</t>
  </si>
  <si>
    <t>Entry vs. Exit Check</t>
  </si>
  <si>
    <t>Entry</t>
  </si>
  <si>
    <t>Exit</t>
  </si>
  <si>
    <t>EBITDA ($mm)</t>
  </si>
  <si>
    <t>EV / EBITDA</t>
  </si>
  <si>
    <t>Enterprise Value ($mm)</t>
  </si>
  <si>
    <t>Net Debt ($mm)</t>
  </si>
  <si>
    <t>Equity Value ($mm)</t>
  </si>
  <si>
    <t>Footnote: Exit assumes sale at end of Year 5 at a conservative multiple below entry, with net debt reflecting full excess-cash sweep through exit.</t>
  </si>
  <si>
    <t>Equity Returns</t>
  </si>
  <si>
    <t>Entry Equity Invested</t>
  </si>
  <si>
    <t>Exit Equity Value</t>
  </si>
  <si>
    <t>Holding Period (Years)</t>
  </si>
  <si>
    <t>19–20%</t>
  </si>
  <si>
    <t>Equity Cash flow Transparency</t>
  </si>
  <si>
    <t>Equity Cash Flows</t>
  </si>
  <si>
    <t>Cash Flow</t>
  </si>
  <si>
    <t>Year 0</t>
  </si>
  <si>
    <t>Base case generates a 19–20% IRR and 2.4x MOIC, driven primarily by free-cash-flow-driven deleveraging and modest EBITDA growth, with no reliance on multiple expansion.</t>
  </si>
  <si>
    <t>IRR Sensitivity — Exit EBITDA</t>
  </si>
  <si>
    <t>EBITDA Case</t>
  </si>
  <si>
    <t>–10%</t>
  </si>
  <si>
    <t>–5%</t>
  </si>
  <si>
    <t>Base</t>
  </si>
  <si>
    <t>IRR (%)</t>
  </si>
  <si>
    <t>Downside Case Summary</t>
  </si>
  <si>
    <t>Downside Case</t>
  </si>
  <si>
    <t>Revenue CAGR (5Y)</t>
  </si>
  <si>
    <t>Exit EBITDA ($mm)</t>
  </si>
  <si>
    <t>Exit Multiple</t>
  </si>
  <si>
    <t>Exit EV ($mm)</t>
  </si>
  <si>
    <t>Net Debt at Exit ($mm)</t>
  </si>
  <si>
    <t>13–14%</t>
  </si>
  <si>
    <t>MOIC (x)</t>
  </si>
  <si>
    <t>2.4x</t>
  </si>
  <si>
    <t>1.5x</t>
  </si>
  <si>
    <r>
      <rPr>
        <b/>
        <sz val="12"/>
        <color rgb="FF000000"/>
        <rFont val="TimesNewRomanPSMT"/>
      </rPr>
      <t>Footnote</t>
    </r>
    <r>
      <rPr>
        <sz val="12"/>
        <color rgb="FF000000"/>
        <rFont val="TimesNewRomanPSMT"/>
      </rPr>
      <t>: Sensitivities assume all other assumptions held constant; downside case reflects reduced operating performance and exit multiple compression with no change to capital structure or cash sweep mechanics.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</si>
</sst>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  <family val="2"/>
    </font>
    <font>
      <b/>
      <sz val="12"/>
      <color rgb="FF002060"/>
      <name val="TimesNewRomanPSMT"/>
      <family val="2"/>
    </font>
    <font>
      <b/>
      <sz val="12"/>
      <color rgb="FF000000"/>
      <name val="TimesNewRomanPSMT"/>
    </font>
    <font>
      <b/>
      <sz val="13.5"/>
      <color theme="1"/>
      <name val="TimesNewRomanPSMT"/>
      <family val="2"/>
    </font>
    <font>
      <b/>
      <sz val="12"/>
      <color theme="8" tint="-0.499984740745262"/>
      <name val="TimesNewRomanPSMT"/>
      <family val="2"/>
    </font>
    <font>
      <sz val="12"/>
      <color rgb="FF000000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3" fillId="0" borderId="0" xfId="0" applyNumberFormat="1" applyFont="1"/>
    <xf numFmtId="9" fontId="2" fillId="0" borderId="0" xfId="0" applyNumberFormat="1" applyFont="1"/>
    <xf numFmtId="0" fontId="5" fillId="0" borderId="0" xfId="0" applyFont="1"/>
    <xf numFmtId="10" fontId="2" fillId="0" borderId="0" xfId="0" applyNumberFormat="1" applyFont="1"/>
    <xf numFmtId="3" fontId="0" fillId="0" borderId="0" xfId="0" applyNumberFormat="1"/>
    <xf numFmtId="3" fontId="6" fillId="0" borderId="0" xfId="0" applyNumberFormat="1" applyFont="1"/>
    <xf numFmtId="3" fontId="3" fillId="0" borderId="0" xfId="0" applyNumberFormat="1" applyFont="1"/>
    <xf numFmtId="0" fontId="2" fillId="2" borderId="0" xfId="0" applyFont="1" applyFill="1"/>
    <xf numFmtId="10" fontId="2" fillId="2" borderId="0" xfId="0" applyNumberFormat="1" applyFont="1" applyFill="1"/>
    <xf numFmtId="0" fontId="7" fillId="0" borderId="0" xfId="0" applyFont="1"/>
  </cellXfs>
  <cellStyles count="2">
    <cellStyle name="Normal" xfId="0" builtinId="0"/>
    <cellStyle name="Percent" xfId="1" builtinId="5"/>
  </cellStyles>
  <dxfs count="31">
    <dxf>
      <numFmt numFmtId="3" formatCode="#,##0"/>
    </dxf>
    <dxf>
      <numFmt numFmtId="3" formatCode="#,##0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3" formatCode="0%"/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</font>
      <fill>
        <patternFill patternType="solid">
          <fgColor indexed="64"/>
          <bgColor rgb="FFFFFF00"/>
        </patternFill>
      </fill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D093A9F-D25F-42E6-961A-3CF39365470B}" name="Table20" displayName="Table20" ref="A2:B7" totalsRowShown="0" headerRowDxfId="30">
  <autoFilter ref="A2:B7" xr:uid="{9D093A9F-D25F-42E6-961A-3CF39365470B}"/>
  <tableColumns count="2">
    <tableColumn id="1" xr3:uid="{FAA6A850-0AEA-45FF-B38A-08E69F9CD525}" name="Item"/>
    <tableColumn id="2" xr3:uid="{3584D22A-2B60-4549-A15B-FE8D0DB117E9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1A22C35-D8C9-4720-B5BA-854B23A073C2}" name="Table21" displayName="Table21" ref="A11:B14" totalsRowShown="0" headerRowDxfId="29">
  <autoFilter ref="A11:B14" xr:uid="{C1A22C35-D8C9-4720-B5BA-854B23A073C2}"/>
  <tableColumns count="2">
    <tableColumn id="1" xr3:uid="{7487388C-5240-4A55-99E6-BA8D44CEE161}" name="Metric"/>
    <tableColumn id="2" xr3:uid="{0B1276FC-2C90-4088-B840-62B96E3FA636}" name="Target Valu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41B7B4F-4C36-406A-BAC5-44611725527B}" name="Table22" displayName="Table22" ref="A17:B21" totalsRowShown="0">
  <autoFilter ref="A17:B21" xr:uid="{241B7B4F-4C36-406A-BAC5-44611725527B}"/>
  <tableColumns count="2">
    <tableColumn id="1" xr3:uid="{9AA77B1B-E60D-4275-9FCB-C362AA2D5E68}" name="Metric"/>
    <tableColumn id="2" xr3:uid="{782233EC-A872-4CFA-BD6F-492F9D8501EC}" name="Tar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7C5F9B-B33C-4FE9-8B39-C416DC4F1130}" name="Table23" displayName="Table23" ref="A24:B28" totalsRowShown="0">
  <autoFilter ref="A24:B28" xr:uid="{B57C5F9B-B33C-4FE9-8B39-C416DC4F1130}"/>
  <tableColumns count="2">
    <tableColumn id="1" xr3:uid="{1926AE5C-3CC5-41B0-B93C-5F32531EB2C6}" name="Metric"/>
    <tableColumn id="2" xr3:uid="{30038C36-DD3A-478E-B84D-7559CE105A0B}" name="Base Ca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B6AB774-BE5D-4713-BB17-DBEE4BC6299C}" name="Table24" displayName="Table24" ref="A31:B33" totalsRowShown="0" headerRowDxfId="27">
  <autoFilter ref="A31:B33" xr:uid="{BB6AB774-BE5D-4713-BB17-DBEE4BC6299C}"/>
  <tableColumns count="2">
    <tableColumn id="1" xr3:uid="{A263A644-D77A-4D00-A068-3429619798FD}" name="Metric"/>
    <tableColumn id="2" xr3:uid="{ABB859A8-13B8-4C75-9EE2-59FA7195EAE1}" name="Target Outcome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FBCBC39-338B-432A-9308-AC06664D296C}" name="Table25" displayName="Table25" ref="A3:B8" totalsRowShown="0" headerRowDxfId="25">
  <autoFilter ref="A3:B8" xr:uid="{4FBCBC39-338B-432A-9308-AC06664D296C}"/>
  <tableColumns count="2">
    <tableColumn id="1" xr3:uid="{DA39827C-616E-491F-8DD4-52EFC3ECB469}" name="Year"/>
    <tableColumn id="2" xr3:uid="{CFE7F522-48B9-4CD7-B012-4CB78015BD1E}" name="Growth %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35CD85D-127D-454C-8607-A764A7057D59}" name="Table26" displayName="Table26" ref="A11:B17" totalsRowShown="0" headerRowDxfId="23">
  <autoFilter ref="A11:B17" xr:uid="{435CD85D-127D-454C-8607-A764A7057D59}"/>
  <tableColumns count="2">
    <tableColumn id="1" xr3:uid="{62791885-4D38-4453-B76C-794AD6BD3E02}" name="Year"/>
    <tableColumn id="2" xr3:uid="{A1DDD69A-4E32-4907-8329-ECD76C8E3BEE}" name="EBITDA %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D9DE03C-0B0D-4EE0-A032-004DD406D4E6}" name="Table27" displayName="Table27" ref="A20:B23" totalsRowShown="0">
  <autoFilter ref="A20:B23" xr:uid="{5D9DE03C-0B0D-4EE0-A032-004DD406D4E6}"/>
  <tableColumns count="2">
    <tableColumn id="1" xr3:uid="{D0B36A5A-C477-440D-BF23-D4CFB9FF9776}" name="Capex Type"/>
    <tableColumn id="2" xr3:uid="{5F473830-D5B8-496D-9B81-C0BE7F0BD44E}" name="% of Revenue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FCD9FA-3966-44DF-957E-12B7999F24A9}" name="Table28" displayName="Table28" ref="A27:B29" totalsRowShown="0">
  <autoFilter ref="A27:B29" xr:uid="{9DFCD9FA-3966-44DF-957E-12B7999F24A9}"/>
  <tableColumns count="2">
    <tableColumn id="1" xr3:uid="{8E4D088C-9C95-4B6F-AB74-7DEB412052DA}" name="Metric"/>
    <tableColumn id="2" xr3:uid="{0E036106-F847-4895-9243-80585F24440F}" name="Assum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7F491E8-6B96-4361-9347-E0167CA4C4FA}" name="Table29" displayName="Table29" ref="A33:B35" totalsRowShown="0" headerRowDxfId="20">
  <autoFilter ref="A33:B35" xr:uid="{E7F491E8-6B96-4361-9347-E0167CA4C4FA}"/>
  <tableColumns count="2">
    <tableColumn id="1" xr3:uid="{0759913D-33C8-439F-8F5E-8F6C8AC6E739}" name="Item"/>
    <tableColumn id="2" xr3:uid="{8248BE0E-41C9-4715-AC44-A39F3D065251}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8CE1491-7334-4F66-BB79-C45AAD05095F}" name="Table30" displayName="Table30" ref="A3:E7" totalsRowShown="0">
  <autoFilter ref="A3:E7" xr:uid="{68CE1491-7334-4F66-BB79-C45AAD05095F}"/>
  <tableColumns count="5">
    <tableColumn id="1" xr3:uid="{8B91DCB3-3676-4B58-B107-F94DBB4C2135}" name=" Metrics USD (mm)"/>
    <tableColumn id="2" xr3:uid="{7AFED6D5-A2D5-4692-960E-3C7357B1DA06}" name="FY–2"/>
    <tableColumn id="3" xr3:uid="{164A9B92-955D-4FEF-895F-1571374106EE}" name="FY–1"/>
    <tableColumn id="4" xr3:uid="{21C2D913-97DB-44E0-B3EA-F76128B7171E}" name="FY"/>
    <tableColumn id="5" xr3:uid="{64D05644-BC56-4498-A875-B6FB490F9478}" name="LT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B557315-47BA-47E9-BD73-6386B6DF111C}" name="Table31" displayName="Table31" ref="A11:C14" totalsRowShown="0">
  <autoFilter ref="A11:C14" xr:uid="{AB557315-47BA-47E9-BD73-6386B6DF111C}"/>
  <tableColumns count="3">
    <tableColumn id="1" xr3:uid="{6E1888A7-E08C-4D2F-BC9D-63C48B428410}" name="Metrics USD (mm)"/>
    <tableColumn id="2" xr3:uid="{1C6F00CC-FA2D-4214-A7C8-2E237E21DF54}" name="FY"/>
    <tableColumn id="3" xr3:uid="{FD88C8FB-73C1-49DD-8AAC-7FE88828CAFE}" name="LT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DEDE162-6C62-465B-AE45-B9A4C17F8E03}" name="Table32" displayName="Table32" ref="A17:B21" totalsRowShown="0">
  <autoFilter ref="A17:B21" xr:uid="{0DEDE162-6C62-465B-AE45-B9A4C17F8E03}"/>
  <tableColumns count="2">
    <tableColumn id="1" xr3:uid="{85A35ACD-DEDD-4074-9CD1-4ED80D59E55B}" name="Driver"/>
    <tableColumn id="2" xr3:uid="{778144B6-E17B-487F-9C7D-899D64FDA84E}" name="Impact ($mm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6B96508-5540-4F13-ACD0-41178D2E3175}" name="Table33" displayName="Table33" ref="A3:G5" totalsRowShown="0">
  <autoFilter ref="A3:G5" xr:uid="{76B96508-5540-4F13-ACD0-41178D2E3175}"/>
  <tableColumns count="7">
    <tableColumn id="1" xr3:uid="{C729D118-0583-45D0-8D25-3E21ED316B91}" name="USD (mm)"/>
    <tableColumn id="2" xr3:uid="{22E35351-1987-4C65-AD5F-4FE18E925AF8}" name="LTM"/>
    <tableColumn id="3" xr3:uid="{A669F883-4B2C-4424-BCF9-9879669DBA25}" name="Y1"/>
    <tableColumn id="4" xr3:uid="{A9EFB5A3-2855-4E22-8A76-AA224E968807}" name="Y2"/>
    <tableColumn id="5" xr3:uid="{CC1A72A9-20D1-4715-B4DA-0178C0BCE099}" name="Y3"/>
    <tableColumn id="6" xr3:uid="{C8B4E25B-648C-4B24-B06F-8DB6D7894B15}" name="Y4"/>
    <tableColumn id="7" xr3:uid="{E463B0E8-6937-4F9E-95A8-01BD7CB2270D}" name="Y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C53174E-F32C-464C-8F3F-F11CE874BEAF}" name="Table34" displayName="Table34" ref="A8:G11" totalsRowShown="0">
  <autoFilter ref="A8:G11" xr:uid="{1C53174E-F32C-464C-8F3F-F11CE874BEAF}"/>
  <tableColumns count="7">
    <tableColumn id="1" xr3:uid="{AB02D618-22AC-42DC-BA6E-A028CEA40E17}" name="USD (mm)"/>
    <tableColumn id="2" xr3:uid="{B227D052-3A0C-4EB9-8E85-DB8B53D58CDE}" name="LTM"/>
    <tableColumn id="3" xr3:uid="{D7E019F9-2519-4140-9979-AD118BBA0065}" name="Y1"/>
    <tableColumn id="4" xr3:uid="{F648B0A9-485D-4F7B-8832-DCAA9E981AFC}" name="Y2"/>
    <tableColumn id="5" xr3:uid="{5A8FB3AF-9746-420C-9FD3-DFFE54F6A7D1}" name="Y3"/>
    <tableColumn id="6" xr3:uid="{0D61C138-96C0-4713-AAC3-5B80071AA62F}" name="Y4"/>
    <tableColumn id="7" xr3:uid="{4479D910-7FA6-406B-BE0E-F329D4652A96}" name="Y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9E9DD59-6934-4F3D-AF83-EDFA0FE16E23}" name="Table35" displayName="Table35" ref="A14:B17" totalsRowShown="0">
  <autoFilter ref="A14:B17" xr:uid="{D9E9DD59-6934-4F3D-AF83-EDFA0FE16E23}"/>
  <tableColumns count="2">
    <tableColumn id="1" xr3:uid="{5F620A99-ED26-450D-9F54-D03BD93B8987}" name="Driver"/>
    <tableColumn id="2" xr3:uid="{05517954-6E92-4E76-9039-155C6FF912F8}" name="Impact ($mm)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52255B-316B-45B3-859F-A679D75BB9DB}" name="Table36" displayName="Table36" ref="A3:G9" totalsRowShown="0">
  <autoFilter ref="A3:G9" xr:uid="{6D52255B-316B-45B3-859F-A679D75BB9DB}"/>
  <tableColumns count="7">
    <tableColumn id="1" xr3:uid="{9D1AD842-51BA-461A-9C04-9F8EEA5023DE}" name="USD (mm)"/>
    <tableColumn id="2" xr3:uid="{53B81037-20E1-4467-B189-7262CFE3B314}" name="LTM"/>
    <tableColumn id="3" xr3:uid="{EF819527-F064-4BD3-8157-BE5535B1DDD9}" name="Y1"/>
    <tableColumn id="4" xr3:uid="{EA1CF069-9E9C-4B49-9B89-9719CD9E73EA}" name="Y2"/>
    <tableColumn id="5" xr3:uid="{45ECBF74-2B7C-48C4-928A-0BDC2D1D3B16}" name="Y3"/>
    <tableColumn id="6" xr3:uid="{A1927663-866A-431D-8663-E3E50E5E4BB8}" name="Y4"/>
    <tableColumn id="7" xr3:uid="{11D5D279-5A9D-4BDB-A34E-ADA075C41BA1}" name="Y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A194167-DC3B-4F64-B110-2265FA54F7EA}" name="Table37" displayName="Table37" ref="A13:G14" totalsRowShown="0">
  <autoFilter ref="A13:G14" xr:uid="{5A194167-DC3B-4F64-B110-2265FA54F7EA}"/>
  <tableColumns count="7">
    <tableColumn id="1" xr3:uid="{63DC734D-F70F-4356-A239-0E9B26BC53F1}" name="USD (mm)"/>
    <tableColumn id="2" xr3:uid="{A4C7E46E-EDBB-4C13-8A15-A761FF7259B0}" name="LTM"/>
    <tableColumn id="3" xr3:uid="{F0ED8943-8F01-4394-9907-DC3A2D66BFC2}" name="Y1"/>
    <tableColumn id="4" xr3:uid="{14B4A064-0233-42D2-A5FA-23333FF89200}" name="Y2"/>
    <tableColumn id="5" xr3:uid="{EC018FC6-608C-4C8C-8A8E-2AD37FC19A61}" name="Y3"/>
    <tableColumn id="6" xr3:uid="{899B7032-8A6D-4CC8-8DCF-1EF018FD56BD}" name="Y4"/>
    <tableColumn id="7" xr3:uid="{7DBD0D0D-AFD6-4652-BDF6-0F5BE3A6CBC5}" name="Y5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352AD01-30C4-4D4F-890C-FD2C1E3010DD}" name="Table38" displayName="Table38" ref="A3:B6" totalsRowShown="0">
  <autoFilter ref="A3:B6" xr:uid="{F352AD01-30C4-4D4F-890C-FD2C1E3010DD}"/>
  <tableColumns count="2">
    <tableColumn id="1" xr3:uid="{C232C043-0682-41D4-9982-A9D37CE90B3B}" name="USD (mm)"/>
    <tableColumn id="2" xr3:uid="{AE70462A-AC21-4732-99DC-DFA5DB1B66A4}" name="Amou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BCB2F79-7D09-41CA-BE27-53323B33B267}" name="Table39" displayName="Table39" ref="D3:E8" totalsRowShown="0">
  <autoFilter ref="D3:E8" xr:uid="{5BCB2F79-7D09-41CA-BE27-53323B33B267}"/>
  <tableColumns count="2">
    <tableColumn id="1" xr3:uid="{8B6CFCFE-440C-4D6F-8993-ABBF36F96098}" name="USD (mm)"/>
    <tableColumn id="2" xr3:uid="{351859BB-41A1-49BB-9A99-3C0A92AC1817}" name="Amount" dataDxfId="1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8952F86-A444-4E60-BA5A-E6D479D7DD5E}" name="Table40" displayName="Table40" ref="A13:B18" totalsRowShown="0">
  <autoFilter ref="A13:B18" xr:uid="{D8952F86-A444-4E60-BA5A-E6D479D7DD5E}"/>
  <tableColumns count="2">
    <tableColumn id="1" xr3:uid="{93536C10-6B59-4D01-A19D-33C55479D2A9}" name="Metric"/>
    <tableColumn id="2" xr3:uid="{ED9617AD-57C0-40C7-81B8-8DF189300C2A}" name="Value" dataDxfId="1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49BE8BA-8CF5-458E-A160-010BBE186796}" name="Table41" displayName="Table41" ref="A3:G17" totalsRowShown="0">
  <autoFilter ref="A3:G17" xr:uid="{B49BE8BA-8CF5-458E-A160-010BBE186796}"/>
  <tableColumns count="7">
    <tableColumn id="1" xr3:uid="{038E9B1E-1A8B-4AB3-81CC-CEF409D02BD4}" name="USD (mm)"/>
    <tableColumn id="2" xr3:uid="{7CFEA69E-7259-4568-AC2D-B17F0B3C400C}" name="Close"/>
    <tableColumn id="3" xr3:uid="{959BAC3D-8604-4970-B08F-651A6F848CEF}" name="Y1"/>
    <tableColumn id="4" xr3:uid="{6016313E-CBA6-415F-AFF8-13978BE62675}" name="Y2"/>
    <tableColumn id="5" xr3:uid="{171AE600-4131-462C-B607-587D865F8ECC}" name="Y3"/>
    <tableColumn id="6" xr3:uid="{7828BAD7-32EB-4D7F-A1DD-BD8FF2EFE3AD}" name="Y4"/>
    <tableColumn id="7" xr3:uid="{A3FFFDC6-13B6-4782-B201-72B44ED0809B}" name="Y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9AB0CBC-62C6-4A3B-9176-A7A17EF48821}" name="Table42" displayName="Table42" ref="A21:D22" totalsRowShown="0">
  <autoFilter ref="A21:D22" xr:uid="{89AB0CBC-62C6-4A3B-9176-A7A17EF48821}"/>
  <tableColumns count="4">
    <tableColumn id="1" xr3:uid="{A17DECFD-AE84-421C-936F-5897BCB895F0}" name="Metric"/>
    <tableColumn id="2" xr3:uid="{89650D4F-F3B5-4C4E-AD38-35CF19F23543}" name="Close"/>
    <tableColumn id="3" xr3:uid="{2B81DDB4-8820-4E0C-83D2-21866E3DE454}" name="Y3"/>
    <tableColumn id="4" xr3:uid="{4FAF09FE-2EC8-43BA-9A2C-FDAE0F0FD415}" name="Y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ECB3100-8339-4C5D-BD86-C5072DE59CCC}" name="Table43" displayName="Table43" ref="A4:B10" totalsRowShown="0">
  <autoFilter ref="A4:B10" xr:uid="{0ECB3100-8339-4C5D-BD86-C5072DE59CCC}"/>
  <tableColumns count="2">
    <tableColumn id="1" xr3:uid="{2F328800-5A34-4407-95CA-1EDD52E4DAE0}" name=" Metrics USD (mm)"/>
    <tableColumn id="2" xr3:uid="{7E6318D3-A0D5-4239-9A3C-02D00D8CA949}" name="Base Case" dataDxfId="1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758BF798-5ADC-4E1B-B646-D1CF1D7489D9}" name="Table44" displayName="Table44" ref="A14:C19" totalsRowShown="0">
  <autoFilter ref="A14:C19" xr:uid="{758BF798-5ADC-4E1B-B646-D1CF1D7489D9}"/>
  <tableColumns count="3">
    <tableColumn id="1" xr3:uid="{C35873C7-9DC9-4F0A-8386-CFD85F474802}" name="Metric"/>
    <tableColumn id="2" xr3:uid="{13B848CD-5C4E-407C-A0F2-12A7A59EB373}" name="Entry" dataDxfId="16"/>
    <tableColumn id="3" xr3:uid="{CA1E73F0-2BD2-4166-89D3-91D0491D177F}" name="Exit" dataDxfId="1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FD95945-849F-4BC9-B901-BD489A8FF0AD}" name="Table45" displayName="Table45" ref="A4:B9" totalsRowShown="0">
  <autoFilter ref="A4:B9" xr:uid="{3FD95945-849F-4BC9-B901-BD489A8FF0AD}"/>
  <tableColumns count="2">
    <tableColumn id="1" xr3:uid="{61499E10-B799-442A-8036-FA6248AC7C8F}" name="Metric"/>
    <tableColumn id="2" xr3:uid="{6B06A253-07B4-428B-BEE0-64FF8E03F7B2}" name="Valu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6DC1FBA-A6D8-475A-B1D8-C9760E36D516}" name="Table46" displayName="Table46" ref="A14:B20" totalsRowShown="0">
  <autoFilter ref="A14:B20" xr:uid="{16DC1FBA-A6D8-475A-B1D8-C9760E36D516}"/>
  <tableColumns count="2">
    <tableColumn id="1" xr3:uid="{4DDBEEDB-9820-42AE-BBFB-0E3DFA75268D}" name="Year"/>
    <tableColumn id="2" xr3:uid="{19BE3755-3101-4F61-BABE-C4BF7E648D2E}" name="Cash Flow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8A0EAAB-4A66-49C3-B227-3368D4AECBE3}" name="Table47" displayName="Table47" ref="A4:E5" headerRowCount="0" totalsRowShown="0">
  <tableColumns count="5">
    <tableColumn id="1" xr3:uid="{805AE997-3F82-4D95-87DC-E46FDAEF8C8E}" name="Column1" dataDxfId="14"/>
    <tableColumn id="2" xr3:uid="{334291E6-D952-4A14-A4DA-3C8DA0AF2BAF}" name="Column2"/>
    <tableColumn id="3" xr3:uid="{A6B25D96-613F-4DFD-AF47-ADFB20678F96}" name="Column3"/>
    <tableColumn id="4" xr3:uid="{553C42E7-8DC5-44EF-9E1B-89205E455BC3}" name="Column4" dataDxfId="13"/>
    <tableColumn id="5" xr3:uid="{F4C0011A-3B64-46E4-8CD1-1E6D15DEDBB4}" name="Column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1B15D65-3E5B-47C8-8BFB-FC163C23D663}" name="Table48" displayName="Table48" ref="A10:E11" headerRowCount="0" totalsRowShown="0" headerRowDxfId="12">
  <tableColumns count="5">
    <tableColumn id="1" xr3:uid="{EF8E72C3-1EE2-4F50-9BB0-B04EA4ABCA84}" name="Column1" headerRowDxfId="11" dataDxfId="10"/>
    <tableColumn id="2" xr3:uid="{4411CC63-D149-48B0-B8D4-F1282A2BEF23}" name="Column2" headerRowDxfId="9" dataDxfId="8"/>
    <tableColumn id="3" xr3:uid="{B4448C53-C96F-45FE-8FE4-76B30680A264}" name="Column3" headerRowDxfId="7" dataDxfId="6"/>
    <tableColumn id="4" xr3:uid="{8B2F8BFD-30E8-4166-82C7-3F4BE79D29E0}" name="Column4" headerRowDxfId="5" dataDxfId="4"/>
    <tableColumn id="5" xr3:uid="{1D822DC7-B6F8-4DC3-A9FB-D133A87BCBE8}" name="Column5" headerRowDxfId="3" dataDxfId="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4B19B12-15BC-406D-BFE0-375BCEEE3A90}" name="Table49" displayName="Table49" ref="A15:C23" totalsRowShown="0">
  <autoFilter ref="A15:C23" xr:uid="{14B19B12-15BC-406D-BFE0-375BCEEE3A90}"/>
  <tableColumns count="3">
    <tableColumn id="1" xr3:uid="{2B377DB9-BA0C-4379-AA00-450F2C151C00}" name="Metric"/>
    <tableColumn id="2" xr3:uid="{282C5A95-EF8D-491F-8C97-667883BE157F}" name="Base Case" dataDxfId="1"/>
    <tableColumn id="3" xr3:uid="{AD426C69-8ADE-4D87-BC07-B5F130904CFA}" name="Downside C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D4BE-E84F-0242-B370-3D80BA598CDD}">
  <dimension ref="A1:F73"/>
  <sheetViews>
    <sheetView topLeftCell="A15" workbookViewId="0">
      <selection activeCell="G39" sqref="G39"/>
    </sheetView>
  </sheetViews>
  <sheetFormatPr baseColWidth="10" defaultColWidth="11.5" defaultRowHeight="16"/>
  <cols>
    <col min="1" max="1" width="38" customWidth="1"/>
    <col min="2" max="2" width="34.6640625" customWidth="1"/>
    <col min="3" max="3" width="25.33203125" customWidth="1"/>
  </cols>
  <sheetData>
    <row r="1" spans="1:2">
      <c r="A1" s="6" t="s">
        <v>0</v>
      </c>
    </row>
    <row r="2" spans="1:2">
      <c r="A2" s="4" t="s">
        <v>1</v>
      </c>
      <c r="B2" s="4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s="4" t="s">
        <v>12</v>
      </c>
    </row>
    <row r="10" spans="1:2">
      <c r="A10" s="6" t="s">
        <v>13</v>
      </c>
    </row>
    <row r="11" spans="1:2">
      <c r="A11" s="4" t="s">
        <v>14</v>
      </c>
      <c r="B11" s="4" t="s">
        <v>15</v>
      </c>
    </row>
    <row r="12" spans="1:2">
      <c r="A12" t="s">
        <v>16</v>
      </c>
      <c r="B12" s="4" t="s">
        <v>17</v>
      </c>
    </row>
    <row r="13" spans="1:2">
      <c r="A13" t="s">
        <v>18</v>
      </c>
      <c r="B13" s="4" t="s">
        <v>19</v>
      </c>
    </row>
    <row r="14" spans="1:2">
      <c r="A14" s="4" t="s">
        <v>20</v>
      </c>
      <c r="B14" s="4" t="s">
        <v>21</v>
      </c>
    </row>
    <row r="16" spans="1:2">
      <c r="A16" s="6" t="s">
        <v>22</v>
      </c>
    </row>
    <row r="17" spans="1:2">
      <c r="A17" t="s">
        <v>14</v>
      </c>
      <c r="B17" t="s">
        <v>3</v>
      </c>
    </row>
    <row r="18" spans="1:2">
      <c r="A18" t="s">
        <v>23</v>
      </c>
      <c r="B18" s="1">
        <v>0.72</v>
      </c>
    </row>
    <row r="19" spans="1:2">
      <c r="A19" t="s">
        <v>24</v>
      </c>
      <c r="B19" s="1">
        <v>0.28000000000000003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28</v>
      </c>
    </row>
    <row r="23" spans="1:2">
      <c r="A23" s="6" t="s">
        <v>29</v>
      </c>
    </row>
    <row r="24" spans="1:2">
      <c r="A24" t="s">
        <v>14</v>
      </c>
      <c r="B24" t="s">
        <v>30</v>
      </c>
    </row>
    <row r="25" spans="1:2">
      <c r="A25" t="s">
        <v>31</v>
      </c>
      <c r="B25" t="s">
        <v>32</v>
      </c>
    </row>
    <row r="26" spans="1:2">
      <c r="A26" t="s">
        <v>33</v>
      </c>
      <c r="B26" t="s">
        <v>34</v>
      </c>
    </row>
    <row r="27" spans="1:2">
      <c r="A27" t="s">
        <v>35</v>
      </c>
      <c r="B27" t="s">
        <v>36</v>
      </c>
    </row>
    <row r="28" spans="1:2">
      <c r="A28" t="s">
        <v>37</v>
      </c>
      <c r="B28" t="s">
        <v>38</v>
      </c>
    </row>
    <row r="30" spans="1:2">
      <c r="A30" s="6" t="s">
        <v>39</v>
      </c>
    </row>
    <row r="31" spans="1:2">
      <c r="A31" s="4" t="s">
        <v>14</v>
      </c>
      <c r="B31" s="4" t="s">
        <v>40</v>
      </c>
    </row>
    <row r="32" spans="1:2">
      <c r="A32" t="s">
        <v>41</v>
      </c>
      <c r="B32" s="4" t="s">
        <v>42</v>
      </c>
    </row>
    <row r="33" spans="1:2">
      <c r="A33" s="4" t="s">
        <v>43</v>
      </c>
      <c r="B33" s="4" t="s">
        <v>44</v>
      </c>
    </row>
    <row r="35" spans="1:2">
      <c r="A35" s="6" t="s">
        <v>45</v>
      </c>
    </row>
    <row r="51" spans="6:6">
      <c r="F51" s="3"/>
    </row>
    <row r="55" spans="6:6">
      <c r="F55" s="2"/>
    </row>
    <row r="57" spans="6:6">
      <c r="F57" s="1"/>
    </row>
    <row r="58" spans="6:6">
      <c r="F58" s="1"/>
    </row>
    <row r="66" spans="6:6">
      <c r="F66" s="2"/>
    </row>
    <row r="73" spans="6:6">
      <c r="F73" s="1"/>
    </row>
  </sheetData>
  <pageMargins left="0.7" right="0.7" top="0.75" bottom="0.75" header="0.3" footer="0.3"/>
  <pageSetup orientation="portrait" horizontalDpi="0" verticalDpi="0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1CB9-71D8-406D-8A6D-5A6FCD127681}">
  <dimension ref="A2:B37"/>
  <sheetViews>
    <sheetView workbookViewId="0">
      <selection activeCell="D43" sqref="D43"/>
    </sheetView>
  </sheetViews>
  <sheetFormatPr baseColWidth="10" defaultColWidth="8.83203125" defaultRowHeight="16"/>
  <cols>
    <col min="1" max="1" width="29.1640625" customWidth="1"/>
    <col min="2" max="2" width="28.1640625" customWidth="1"/>
  </cols>
  <sheetData>
    <row r="2" spans="1:2">
      <c r="A2" s="6" t="s">
        <v>48</v>
      </c>
    </row>
    <row r="3" spans="1:2">
      <c r="A3" s="4" t="s">
        <v>49</v>
      </c>
      <c r="B3" s="4" t="s">
        <v>50</v>
      </c>
    </row>
    <row r="4" spans="1:2">
      <c r="A4" t="s">
        <v>51</v>
      </c>
      <c r="B4" s="2">
        <v>2.5000000000000001E-2</v>
      </c>
    </row>
    <row r="5" spans="1:2">
      <c r="A5" t="s">
        <v>52</v>
      </c>
      <c r="B5" s="2">
        <v>0.03</v>
      </c>
    </row>
    <row r="6" spans="1:2">
      <c r="A6" t="s">
        <v>53</v>
      </c>
      <c r="B6" s="2">
        <v>3.5000000000000003E-2</v>
      </c>
    </row>
    <row r="7" spans="1:2">
      <c r="A7" t="s">
        <v>54</v>
      </c>
      <c r="B7" s="2">
        <v>0.03</v>
      </c>
    </row>
    <row r="8" spans="1:2">
      <c r="A8" t="s">
        <v>32</v>
      </c>
      <c r="B8" s="2">
        <v>2.5000000000000001E-2</v>
      </c>
    </row>
    <row r="10" spans="1:2">
      <c r="A10" s="6" t="s">
        <v>55</v>
      </c>
    </row>
    <row r="11" spans="1:2">
      <c r="A11" s="4" t="s">
        <v>49</v>
      </c>
      <c r="B11" s="4" t="s">
        <v>56</v>
      </c>
    </row>
    <row r="12" spans="1:2">
      <c r="A12" t="s">
        <v>57</v>
      </c>
      <c r="B12" s="2">
        <v>0.108</v>
      </c>
    </row>
    <row r="13" spans="1:2">
      <c r="A13" t="s">
        <v>51</v>
      </c>
      <c r="B13" s="2">
        <v>0.112</v>
      </c>
    </row>
    <row r="14" spans="1:2">
      <c r="A14" t="s">
        <v>52</v>
      </c>
      <c r="B14" s="2">
        <v>0.11600000000000001</v>
      </c>
    </row>
    <row r="15" spans="1:2">
      <c r="A15" t="s">
        <v>53</v>
      </c>
      <c r="B15" s="2">
        <v>0.12</v>
      </c>
    </row>
    <row r="16" spans="1:2">
      <c r="A16" t="s">
        <v>54</v>
      </c>
      <c r="B16" s="2">
        <v>0.123</v>
      </c>
    </row>
    <row r="17" spans="1:2">
      <c r="A17" t="s">
        <v>32</v>
      </c>
      <c r="B17" s="2">
        <v>0.125</v>
      </c>
    </row>
    <row r="19" spans="1:2">
      <c r="A19" s="6" t="s">
        <v>58</v>
      </c>
    </row>
    <row r="20" spans="1:2">
      <c r="A20" t="s">
        <v>59</v>
      </c>
      <c r="B20" t="s">
        <v>60</v>
      </c>
    </row>
    <row r="21" spans="1:2">
      <c r="A21" t="s">
        <v>61</v>
      </c>
      <c r="B21" s="2">
        <v>1.4999999999999999E-2</v>
      </c>
    </row>
    <row r="22" spans="1:2">
      <c r="A22" t="s">
        <v>62</v>
      </c>
      <c r="B22" s="2">
        <v>8.0000000000000002E-3</v>
      </c>
    </row>
    <row r="23" spans="1:2">
      <c r="A23" t="s">
        <v>63</v>
      </c>
      <c r="B23" s="2">
        <v>2.3E-2</v>
      </c>
    </row>
    <row r="25" spans="1:2">
      <c r="A25" s="6" t="s">
        <v>64</v>
      </c>
    </row>
    <row r="27" spans="1:2">
      <c r="A27" t="s">
        <v>14</v>
      </c>
      <c r="B27" t="s">
        <v>65</v>
      </c>
    </row>
    <row r="28" spans="1:2">
      <c r="A28" t="s">
        <v>66</v>
      </c>
      <c r="B28" s="2">
        <v>0.1</v>
      </c>
    </row>
    <row r="29" spans="1:2">
      <c r="A29" t="s">
        <v>67</v>
      </c>
      <c r="B29" t="s">
        <v>68</v>
      </c>
    </row>
    <row r="32" spans="1:2">
      <c r="A32" s="6" t="s">
        <v>69</v>
      </c>
    </row>
    <row r="33" spans="1:2">
      <c r="A33" s="4" t="s">
        <v>1</v>
      </c>
      <c r="B33" s="4" t="s">
        <v>2</v>
      </c>
    </row>
    <row r="34" spans="1:2">
      <c r="A34" t="s">
        <v>70</v>
      </c>
      <c r="B34" s="1">
        <v>0.25</v>
      </c>
    </row>
    <row r="35" spans="1:2">
      <c r="A35" t="s">
        <v>71</v>
      </c>
      <c r="B35" t="s">
        <v>72</v>
      </c>
    </row>
    <row r="37" spans="1:2">
      <c r="A37" t="s">
        <v>73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1F3A-9E1E-4CA6-813E-F27FEC20EF65}">
  <dimension ref="A2:E21"/>
  <sheetViews>
    <sheetView workbookViewId="0">
      <selection activeCell="A25" sqref="A25"/>
    </sheetView>
  </sheetViews>
  <sheetFormatPr baseColWidth="10" defaultColWidth="8.83203125" defaultRowHeight="16"/>
  <cols>
    <col min="1" max="1" width="22.83203125" customWidth="1"/>
    <col min="2" max="2" width="14.83203125" customWidth="1"/>
    <col min="3" max="3" width="17.5" customWidth="1"/>
    <col min="4" max="4" width="20.83203125" customWidth="1"/>
    <col min="5" max="5" width="19.83203125" customWidth="1"/>
  </cols>
  <sheetData>
    <row r="2" spans="1:5">
      <c r="A2" s="6" t="s">
        <v>74</v>
      </c>
    </row>
    <row r="3" spans="1:5">
      <c r="A3" t="s">
        <v>75</v>
      </c>
      <c r="B3" t="s">
        <v>76</v>
      </c>
      <c r="C3" t="s">
        <v>77</v>
      </c>
      <c r="D3" t="s">
        <v>78</v>
      </c>
      <c r="E3" t="s">
        <v>57</v>
      </c>
    </row>
    <row r="4" spans="1:5">
      <c r="A4" t="s">
        <v>79</v>
      </c>
      <c r="B4" s="11">
        <v>7050</v>
      </c>
      <c r="C4" s="11">
        <v>7320</v>
      </c>
      <c r="D4" s="11">
        <v>7580</v>
      </c>
      <c r="E4" s="11">
        <v>7750</v>
      </c>
    </row>
    <row r="5" spans="1:5">
      <c r="A5" t="s">
        <v>80</v>
      </c>
      <c r="B5" t="s">
        <v>81</v>
      </c>
      <c r="C5" s="2">
        <v>3.7999999999999999E-2</v>
      </c>
      <c r="D5" s="2">
        <v>3.5999999999999997E-2</v>
      </c>
      <c r="E5" s="2">
        <v>2.1999999999999999E-2</v>
      </c>
    </row>
    <row r="6" spans="1:5">
      <c r="A6" t="s">
        <v>82</v>
      </c>
      <c r="B6">
        <v>730</v>
      </c>
      <c r="C6">
        <v>785</v>
      </c>
      <c r="D6">
        <v>820</v>
      </c>
      <c r="E6">
        <v>835</v>
      </c>
    </row>
    <row r="7" spans="1:5">
      <c r="A7" t="s">
        <v>47</v>
      </c>
      <c r="B7" s="2">
        <v>0.104</v>
      </c>
      <c r="C7" s="2">
        <v>0.107</v>
      </c>
      <c r="D7" s="2">
        <v>0.108</v>
      </c>
      <c r="E7" s="2">
        <v>0.108</v>
      </c>
    </row>
    <row r="9" spans="1:5">
      <c r="A9" s="6" t="s">
        <v>83</v>
      </c>
    </row>
    <row r="11" spans="1:5">
      <c r="A11" t="s">
        <v>84</v>
      </c>
      <c r="B11" t="s">
        <v>78</v>
      </c>
      <c r="C11" t="s">
        <v>57</v>
      </c>
    </row>
    <row r="12" spans="1:5">
      <c r="A12" t="s">
        <v>85</v>
      </c>
      <c r="B12">
        <v>-170</v>
      </c>
      <c r="C12">
        <v>-175</v>
      </c>
    </row>
    <row r="13" spans="1:5">
      <c r="A13" t="s">
        <v>86</v>
      </c>
      <c r="B13" s="2">
        <v>2.1999999999999999E-2</v>
      </c>
      <c r="C13" s="2">
        <v>2.3E-2</v>
      </c>
    </row>
    <row r="14" spans="1:5">
      <c r="A14" t="s">
        <v>87</v>
      </c>
      <c r="B14">
        <v>-155</v>
      </c>
      <c r="C14">
        <v>-160</v>
      </c>
    </row>
    <row r="16" spans="1:5">
      <c r="A16" s="6" t="s">
        <v>88</v>
      </c>
    </row>
    <row r="17" spans="1:2">
      <c r="A17" t="s">
        <v>89</v>
      </c>
      <c r="B17" t="s">
        <v>90</v>
      </c>
    </row>
    <row r="18" spans="1:2">
      <c r="A18" t="s">
        <v>46</v>
      </c>
      <c r="B18">
        <v>55</v>
      </c>
    </row>
    <row r="19" spans="1:2">
      <c r="A19" t="s">
        <v>91</v>
      </c>
      <c r="B19">
        <v>50</v>
      </c>
    </row>
    <row r="20" spans="1:2">
      <c r="A20" t="s">
        <v>92</v>
      </c>
      <c r="B20">
        <v>0</v>
      </c>
    </row>
    <row r="21" spans="1:2">
      <c r="A21" t="s">
        <v>93</v>
      </c>
      <c r="B21">
        <v>105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6DE1-5338-4EE8-B49A-932490CFB6B2}">
  <dimension ref="A2:G19"/>
  <sheetViews>
    <sheetView workbookViewId="0">
      <selection activeCell="D13" sqref="D13"/>
    </sheetView>
  </sheetViews>
  <sheetFormatPr baseColWidth="10" defaultColWidth="8.83203125" defaultRowHeight="16"/>
  <cols>
    <col min="1" max="1" width="17.83203125" customWidth="1"/>
    <col min="2" max="2" width="18.1640625" customWidth="1"/>
    <col min="3" max="6" width="17.5" customWidth="1"/>
    <col min="7" max="7" width="17.83203125" customWidth="1"/>
  </cols>
  <sheetData>
    <row r="2" spans="1:7">
      <c r="A2" s="6" t="s">
        <v>94</v>
      </c>
    </row>
    <row r="3" spans="1:7">
      <c r="A3" t="s">
        <v>95</v>
      </c>
      <c r="B3" t="s">
        <v>57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</row>
    <row r="4" spans="1:7">
      <c r="A4" t="s">
        <v>79</v>
      </c>
      <c r="B4" s="11">
        <v>7750</v>
      </c>
      <c r="C4" s="12">
        <v>7944</v>
      </c>
      <c r="D4" s="12">
        <v>8182</v>
      </c>
      <c r="E4" s="12">
        <v>8468</v>
      </c>
      <c r="F4" s="12">
        <v>8722</v>
      </c>
      <c r="G4" s="12">
        <v>8940</v>
      </c>
    </row>
    <row r="5" spans="1:7">
      <c r="A5" t="s">
        <v>50</v>
      </c>
      <c r="B5" t="s">
        <v>81</v>
      </c>
      <c r="C5" s="2">
        <v>2.5000000000000001E-2</v>
      </c>
      <c r="D5" s="2">
        <v>0.03</v>
      </c>
      <c r="E5" s="2">
        <v>3.5000000000000003E-2</v>
      </c>
      <c r="F5" s="2">
        <v>0.03</v>
      </c>
      <c r="G5" s="2">
        <v>2.5000000000000001E-2</v>
      </c>
    </row>
    <row r="7" spans="1:7">
      <c r="A7" s="6" t="s">
        <v>101</v>
      </c>
    </row>
    <row r="8" spans="1:7">
      <c r="A8" t="s">
        <v>95</v>
      </c>
      <c r="B8" t="s">
        <v>57</v>
      </c>
      <c r="C8" t="s">
        <v>96</v>
      </c>
      <c r="D8" t="s">
        <v>97</v>
      </c>
      <c r="E8" t="s">
        <v>98</v>
      </c>
      <c r="F8" t="s">
        <v>99</v>
      </c>
      <c r="G8" t="s">
        <v>100</v>
      </c>
    </row>
    <row r="9" spans="1:7">
      <c r="A9" t="s">
        <v>79</v>
      </c>
      <c r="B9" s="11">
        <v>7750</v>
      </c>
      <c r="C9" s="11">
        <v>7944</v>
      </c>
      <c r="D9" s="11">
        <v>8182</v>
      </c>
      <c r="E9" s="11">
        <v>8468</v>
      </c>
      <c r="F9" s="11">
        <v>8722</v>
      </c>
      <c r="G9" s="11">
        <v>8940</v>
      </c>
    </row>
    <row r="10" spans="1:7">
      <c r="A10" t="s">
        <v>102</v>
      </c>
      <c r="B10" s="2">
        <v>0.108</v>
      </c>
      <c r="C10" s="2">
        <v>0.112</v>
      </c>
      <c r="D10" s="2">
        <v>0.11600000000000001</v>
      </c>
      <c r="E10" s="2">
        <v>0.12</v>
      </c>
      <c r="F10" s="2">
        <v>0.123</v>
      </c>
      <c r="G10" s="2">
        <v>0.125</v>
      </c>
    </row>
    <row r="11" spans="1:7">
      <c r="A11" t="s">
        <v>82</v>
      </c>
      <c r="B11">
        <v>835</v>
      </c>
      <c r="C11" s="5">
        <v>890</v>
      </c>
      <c r="D11" s="5">
        <v>949</v>
      </c>
      <c r="E11" s="13">
        <v>1016</v>
      </c>
      <c r="F11" s="13">
        <v>1073</v>
      </c>
      <c r="G11" s="13">
        <v>1118</v>
      </c>
    </row>
    <row r="13" spans="1:7">
      <c r="A13" s="6" t="s">
        <v>103</v>
      </c>
    </row>
    <row r="14" spans="1:7">
      <c r="A14" t="s">
        <v>89</v>
      </c>
      <c r="B14" t="s">
        <v>90</v>
      </c>
    </row>
    <row r="15" spans="1:7">
      <c r="A15" t="s">
        <v>46</v>
      </c>
      <c r="B15">
        <v>110</v>
      </c>
    </row>
    <row r="16" spans="1:7">
      <c r="A16" t="s">
        <v>91</v>
      </c>
      <c r="B16">
        <v>173</v>
      </c>
    </row>
    <row r="17" spans="1:2">
      <c r="A17" t="s">
        <v>104</v>
      </c>
      <c r="B17">
        <v>283</v>
      </c>
    </row>
    <row r="19" spans="1:2">
      <c r="A19" s="6" t="s">
        <v>105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7D02-710A-4407-933B-4ECBD6B93DC1}">
  <dimension ref="A2:G16"/>
  <sheetViews>
    <sheetView workbookViewId="0">
      <selection activeCell="A19" sqref="A19"/>
    </sheetView>
  </sheetViews>
  <sheetFormatPr baseColWidth="10" defaultColWidth="8.83203125" defaultRowHeight="16"/>
  <cols>
    <col min="1" max="1" width="28.5" customWidth="1"/>
    <col min="2" max="2" width="17.1640625" customWidth="1"/>
    <col min="3" max="3" width="15.6640625" customWidth="1"/>
    <col min="4" max="4" width="14.6640625" customWidth="1"/>
    <col min="5" max="5" width="14.5" customWidth="1"/>
    <col min="6" max="6" width="15.1640625" customWidth="1"/>
    <col min="7" max="7" width="16.1640625" customWidth="1"/>
  </cols>
  <sheetData>
    <row r="2" spans="1:7">
      <c r="A2" s="6" t="s">
        <v>106</v>
      </c>
    </row>
    <row r="3" spans="1:7">
      <c r="A3" t="s">
        <v>95</v>
      </c>
      <c r="B3" t="s">
        <v>57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</row>
    <row r="4" spans="1:7">
      <c r="A4" t="s">
        <v>82</v>
      </c>
      <c r="B4">
        <v>835</v>
      </c>
      <c r="C4">
        <v>890</v>
      </c>
      <c r="D4">
        <v>949</v>
      </c>
      <c r="E4" s="11">
        <v>1016</v>
      </c>
      <c r="F4" s="11">
        <v>1073</v>
      </c>
      <c r="G4" s="11">
        <v>1118</v>
      </c>
    </row>
    <row r="5" spans="1:7">
      <c r="A5" t="s">
        <v>107</v>
      </c>
      <c r="B5">
        <v>-160</v>
      </c>
      <c r="C5">
        <v>-200</v>
      </c>
      <c r="D5">
        <v>-215</v>
      </c>
      <c r="E5">
        <v>-235</v>
      </c>
      <c r="F5">
        <v>-255</v>
      </c>
      <c r="G5">
        <v>-270</v>
      </c>
    </row>
    <row r="6" spans="1:7">
      <c r="A6" t="s">
        <v>108</v>
      </c>
      <c r="B6">
        <v>-115</v>
      </c>
      <c r="C6">
        <v>-120</v>
      </c>
      <c r="D6">
        <v>-125</v>
      </c>
      <c r="E6">
        <v>-130</v>
      </c>
      <c r="F6">
        <v>-135</v>
      </c>
      <c r="G6">
        <v>-140</v>
      </c>
    </row>
    <row r="7" spans="1:7">
      <c r="A7" t="s">
        <v>109</v>
      </c>
      <c r="B7">
        <v>-60</v>
      </c>
      <c r="C7">
        <v>-65</v>
      </c>
      <c r="D7">
        <v>-65</v>
      </c>
      <c r="E7">
        <v>-70</v>
      </c>
      <c r="F7">
        <v>-70</v>
      </c>
      <c r="G7">
        <v>-75</v>
      </c>
    </row>
    <row r="8" spans="1:7">
      <c r="A8" t="s">
        <v>110</v>
      </c>
      <c r="B8">
        <v>25</v>
      </c>
      <c r="C8">
        <v>30</v>
      </c>
      <c r="D8">
        <v>30</v>
      </c>
      <c r="E8">
        <v>35</v>
      </c>
      <c r="F8">
        <v>35</v>
      </c>
      <c r="G8">
        <v>40</v>
      </c>
    </row>
    <row r="9" spans="1:7">
      <c r="A9" t="s">
        <v>111</v>
      </c>
      <c r="B9">
        <v>525</v>
      </c>
      <c r="C9" s="5">
        <v>535</v>
      </c>
      <c r="D9" s="5">
        <v>574</v>
      </c>
      <c r="E9" s="5">
        <v>616</v>
      </c>
      <c r="F9" s="5">
        <v>648</v>
      </c>
      <c r="G9" s="5">
        <v>673</v>
      </c>
    </row>
    <row r="12" spans="1:7">
      <c r="A12" s="6" t="s">
        <v>112</v>
      </c>
    </row>
    <row r="13" spans="1:7">
      <c r="A13" t="s">
        <v>95</v>
      </c>
      <c r="B13" t="s">
        <v>57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</row>
    <row r="14" spans="1:7">
      <c r="A14" t="s">
        <v>113</v>
      </c>
      <c r="B14">
        <v>525</v>
      </c>
      <c r="C14">
        <v>535</v>
      </c>
      <c r="D14">
        <v>574</v>
      </c>
      <c r="E14">
        <v>616</v>
      </c>
      <c r="F14">
        <v>648</v>
      </c>
      <c r="G14">
        <v>673</v>
      </c>
    </row>
    <row r="16" spans="1:7">
      <c r="A16" s="4" t="s">
        <v>114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58E2-2BC8-4B7F-BC55-4B29E9FC1BA7}">
  <dimension ref="A2:E18"/>
  <sheetViews>
    <sheetView workbookViewId="0">
      <selection activeCell="D20" sqref="D20"/>
    </sheetView>
  </sheetViews>
  <sheetFormatPr baseColWidth="10" defaultColWidth="8.83203125" defaultRowHeight="16"/>
  <cols>
    <col min="1" max="1" width="18.5" customWidth="1"/>
    <col min="2" max="2" width="17.5" customWidth="1"/>
    <col min="4" max="4" width="26.6640625" customWidth="1"/>
    <col min="5" max="5" width="17.83203125" customWidth="1"/>
  </cols>
  <sheetData>
    <row r="2" spans="1:5">
      <c r="A2" s="6" t="s">
        <v>115</v>
      </c>
      <c r="D2" s="6" t="s">
        <v>116</v>
      </c>
    </row>
    <row r="3" spans="1:5">
      <c r="A3" t="s">
        <v>95</v>
      </c>
      <c r="B3" t="s">
        <v>117</v>
      </c>
      <c r="D3" t="s">
        <v>95</v>
      </c>
      <c r="E3" t="s">
        <v>117</v>
      </c>
    </row>
    <row r="4" spans="1:5">
      <c r="A4" t="s">
        <v>118</v>
      </c>
      <c r="B4" s="11">
        <v>7950</v>
      </c>
      <c r="D4" t="s">
        <v>119</v>
      </c>
      <c r="E4" s="11">
        <v>4800</v>
      </c>
    </row>
    <row r="5" spans="1:5">
      <c r="A5" t="s">
        <v>120</v>
      </c>
      <c r="B5">
        <v>250</v>
      </c>
      <c r="D5" t="s">
        <v>121</v>
      </c>
      <c r="E5" s="11">
        <v>1100</v>
      </c>
    </row>
    <row r="6" spans="1:5">
      <c r="A6" t="s">
        <v>122</v>
      </c>
      <c r="B6" s="13">
        <f>B5+B4</f>
        <v>8200</v>
      </c>
      <c r="D6" t="s">
        <v>25</v>
      </c>
      <c r="E6" s="11">
        <v>5900</v>
      </c>
    </row>
    <row r="7" spans="1:5">
      <c r="D7" t="s">
        <v>123</v>
      </c>
      <c r="E7" s="11">
        <v>2300</v>
      </c>
    </row>
    <row r="8" spans="1:5">
      <c r="D8" t="s">
        <v>124</v>
      </c>
      <c r="E8" s="13">
        <f>SUM(E4:E5,E7)</f>
        <v>8200</v>
      </c>
    </row>
    <row r="11" spans="1:5">
      <c r="A11" s="6" t="s">
        <v>125</v>
      </c>
    </row>
    <row r="13" spans="1:5">
      <c r="A13" t="s">
        <v>14</v>
      </c>
      <c r="B13" t="s">
        <v>2</v>
      </c>
    </row>
    <row r="14" spans="1:5">
      <c r="A14" t="s">
        <v>126</v>
      </c>
      <c r="B14" s="11">
        <v>8200</v>
      </c>
    </row>
    <row r="15" spans="1:5">
      <c r="A15" t="s">
        <v>25</v>
      </c>
      <c r="B15" s="13">
        <v>5900</v>
      </c>
    </row>
    <row r="16" spans="1:5">
      <c r="A16" t="s">
        <v>127</v>
      </c>
      <c r="B16" s="13">
        <v>2300</v>
      </c>
    </row>
    <row r="17" spans="1:2">
      <c r="A17" t="s">
        <v>23</v>
      </c>
      <c r="B17" s="7">
        <f>B15/B14</f>
        <v>0.71951219512195119</v>
      </c>
    </row>
    <row r="18" spans="1:2">
      <c r="A18" t="s">
        <v>24</v>
      </c>
      <c r="B18" s="7">
        <f>B16/B14</f>
        <v>0.28048780487804881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FB63-8398-4A21-BE54-41A0557E348A}">
  <dimension ref="A2:G24"/>
  <sheetViews>
    <sheetView workbookViewId="0">
      <selection activeCell="A27" sqref="A27"/>
    </sheetView>
  </sheetViews>
  <sheetFormatPr baseColWidth="10" defaultColWidth="8.83203125" defaultRowHeight="16"/>
  <cols>
    <col min="1" max="1" width="36" customWidth="1"/>
    <col min="2" max="2" width="17.6640625" customWidth="1"/>
    <col min="3" max="3" width="17.5" customWidth="1"/>
    <col min="4" max="4" width="18.1640625" customWidth="1"/>
    <col min="5" max="5" width="16.83203125" customWidth="1"/>
    <col min="6" max="6" width="17.5" customWidth="1"/>
    <col min="7" max="7" width="18.1640625" customWidth="1"/>
  </cols>
  <sheetData>
    <row r="2" spans="1:7">
      <c r="A2" s="6" t="s">
        <v>128</v>
      </c>
    </row>
    <row r="3" spans="1:7">
      <c r="A3" t="s">
        <v>95</v>
      </c>
      <c r="B3" t="s">
        <v>129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</row>
    <row r="4" spans="1:7">
      <c r="A4" t="s">
        <v>130</v>
      </c>
      <c r="B4" s="11">
        <v>4800</v>
      </c>
      <c r="C4" s="11">
        <v>4800</v>
      </c>
      <c r="D4" s="11">
        <v>4265</v>
      </c>
      <c r="E4" s="11">
        <v>3691</v>
      </c>
      <c r="F4" s="11">
        <v>3075</v>
      </c>
      <c r="G4" s="11">
        <v>2427</v>
      </c>
    </row>
    <row r="5" spans="1:7">
      <c r="A5" t="s">
        <v>131</v>
      </c>
      <c r="B5" s="11">
        <v>1100</v>
      </c>
      <c r="C5" s="11">
        <v>1100</v>
      </c>
      <c r="D5" s="11">
        <v>1100</v>
      </c>
      <c r="E5" s="11">
        <v>1100</v>
      </c>
      <c r="F5" s="11">
        <v>1100</v>
      </c>
      <c r="G5" s="11">
        <v>1100</v>
      </c>
    </row>
    <row r="6" spans="1:7">
      <c r="A6" t="s">
        <v>132</v>
      </c>
      <c r="B6" s="11">
        <v>5900</v>
      </c>
      <c r="C6" s="13">
        <v>5900</v>
      </c>
      <c r="D6" s="13">
        <v>5365</v>
      </c>
      <c r="E6" s="13">
        <v>4791</v>
      </c>
      <c r="F6" s="13">
        <v>4175</v>
      </c>
      <c r="G6" s="13">
        <v>3527</v>
      </c>
    </row>
    <row r="8" spans="1:7">
      <c r="A8" t="s">
        <v>133</v>
      </c>
      <c r="B8" t="s">
        <v>81</v>
      </c>
      <c r="C8" s="5">
        <v>535</v>
      </c>
      <c r="D8" s="5">
        <v>574</v>
      </c>
      <c r="E8" s="5">
        <v>616</v>
      </c>
      <c r="F8" s="5">
        <v>648</v>
      </c>
      <c r="G8" s="5">
        <v>673</v>
      </c>
    </row>
    <row r="9" spans="1:7">
      <c r="A9" t="s">
        <v>134</v>
      </c>
      <c r="B9" t="s">
        <v>81</v>
      </c>
      <c r="C9">
        <v>-50</v>
      </c>
      <c r="D9">
        <v>-50</v>
      </c>
      <c r="E9">
        <v>-50</v>
      </c>
      <c r="F9">
        <v>-50</v>
      </c>
      <c r="G9">
        <v>-50</v>
      </c>
    </row>
    <row r="10" spans="1:7">
      <c r="A10" t="s">
        <v>135</v>
      </c>
      <c r="B10" t="s">
        <v>81</v>
      </c>
      <c r="C10">
        <v>-485</v>
      </c>
      <c r="D10">
        <v>-524</v>
      </c>
      <c r="E10">
        <v>-566</v>
      </c>
      <c r="F10">
        <v>-598</v>
      </c>
      <c r="G10">
        <v>-623</v>
      </c>
    </row>
    <row r="11" spans="1:7">
      <c r="A11" t="s">
        <v>136</v>
      </c>
      <c r="B11" t="s">
        <v>81</v>
      </c>
      <c r="C11">
        <v>0</v>
      </c>
      <c r="D11">
        <v>0</v>
      </c>
      <c r="E11">
        <v>0</v>
      </c>
      <c r="F11">
        <v>0</v>
      </c>
      <c r="G11">
        <v>0</v>
      </c>
    </row>
    <row r="13" spans="1:7">
      <c r="A13" t="s">
        <v>137</v>
      </c>
      <c r="B13" t="s">
        <v>81</v>
      </c>
      <c r="C13">
        <v>-535</v>
      </c>
      <c r="D13">
        <v>-574</v>
      </c>
      <c r="E13">
        <v>-616</v>
      </c>
      <c r="F13">
        <v>-648</v>
      </c>
      <c r="G13">
        <v>-673</v>
      </c>
    </row>
    <row r="15" spans="1:7">
      <c r="A15" t="s">
        <v>138</v>
      </c>
      <c r="B15" t="s">
        <v>81</v>
      </c>
      <c r="C15" s="11">
        <v>4265</v>
      </c>
      <c r="D15" s="11">
        <v>3691</v>
      </c>
      <c r="E15" s="11">
        <v>3075</v>
      </c>
      <c r="F15" s="11">
        <v>2427</v>
      </c>
      <c r="G15" s="11">
        <v>1754</v>
      </c>
    </row>
    <row r="16" spans="1:7">
      <c r="A16" t="s">
        <v>139</v>
      </c>
      <c r="B16" t="s">
        <v>81</v>
      </c>
      <c r="C16" s="11">
        <v>1100</v>
      </c>
      <c r="D16" s="11">
        <v>1100</v>
      </c>
      <c r="E16" s="11">
        <v>1100</v>
      </c>
      <c r="F16" s="11">
        <v>1100</v>
      </c>
      <c r="G16" s="11">
        <v>1100</v>
      </c>
    </row>
    <row r="17" spans="1:7">
      <c r="A17" t="s">
        <v>140</v>
      </c>
      <c r="B17" t="s">
        <v>81</v>
      </c>
      <c r="C17" s="13">
        <v>5365</v>
      </c>
      <c r="D17" s="13">
        <v>4791</v>
      </c>
      <c r="E17" s="13">
        <v>4175</v>
      </c>
      <c r="F17" s="13">
        <v>3527</v>
      </c>
      <c r="G17" s="13">
        <v>2854</v>
      </c>
    </row>
    <row r="19" spans="1:7">
      <c r="A19" s="6" t="s">
        <v>141</v>
      </c>
    </row>
    <row r="21" spans="1:7">
      <c r="A21" t="s">
        <v>14</v>
      </c>
      <c r="B21" t="s">
        <v>129</v>
      </c>
      <c r="C21" t="s">
        <v>98</v>
      </c>
      <c r="D21" t="s">
        <v>100</v>
      </c>
    </row>
    <row r="22" spans="1:7">
      <c r="A22" t="s">
        <v>142</v>
      </c>
      <c r="B22" t="s">
        <v>143</v>
      </c>
      <c r="C22" t="s">
        <v>144</v>
      </c>
      <c r="D22" t="s">
        <v>145</v>
      </c>
    </row>
    <row r="24" spans="1:7">
      <c r="A24" s="6" t="s">
        <v>146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80E7-0875-4A65-A5F2-C0022EB1FD5C}">
  <dimension ref="A2:C21"/>
  <sheetViews>
    <sheetView workbookViewId="0">
      <selection activeCell="A25" sqref="A25"/>
    </sheetView>
  </sheetViews>
  <sheetFormatPr baseColWidth="10" defaultColWidth="8.83203125" defaultRowHeight="16"/>
  <cols>
    <col min="1" max="1" width="29.33203125" customWidth="1"/>
    <col min="2" max="2" width="21.5" customWidth="1"/>
    <col min="3" max="3" width="18.1640625" customWidth="1"/>
  </cols>
  <sheetData>
    <row r="2" spans="1:3">
      <c r="A2" s="6" t="s">
        <v>147</v>
      </c>
    </row>
    <row r="4" spans="1:3">
      <c r="A4" t="s">
        <v>75</v>
      </c>
      <c r="B4" t="s">
        <v>30</v>
      </c>
    </row>
    <row r="5" spans="1:3">
      <c r="A5" t="s">
        <v>31</v>
      </c>
      <c r="B5" t="s">
        <v>32</v>
      </c>
    </row>
    <row r="6" spans="1:3">
      <c r="A6" t="s">
        <v>33</v>
      </c>
      <c r="B6" s="11">
        <v>1118</v>
      </c>
    </row>
    <row r="7" spans="1:3">
      <c r="A7" t="s">
        <v>35</v>
      </c>
      <c r="B7" t="s">
        <v>36</v>
      </c>
    </row>
    <row r="8" spans="1:3">
      <c r="A8" t="s">
        <v>148</v>
      </c>
      <c r="B8" s="11">
        <v>8385</v>
      </c>
    </row>
    <row r="9" spans="1:3">
      <c r="A9" t="s">
        <v>149</v>
      </c>
      <c r="B9" s="11">
        <v>2854</v>
      </c>
    </row>
    <row r="10" spans="1:3">
      <c r="A10" t="s">
        <v>150</v>
      </c>
      <c r="B10" s="13">
        <f>B8-B9</f>
        <v>5531</v>
      </c>
    </row>
    <row r="13" spans="1:3">
      <c r="A13" s="6" t="s">
        <v>151</v>
      </c>
    </row>
    <row r="14" spans="1:3">
      <c r="A14" t="s">
        <v>14</v>
      </c>
      <c r="B14" t="s">
        <v>152</v>
      </c>
      <c r="C14" t="s">
        <v>153</v>
      </c>
    </row>
    <row r="15" spans="1:3">
      <c r="A15" t="s">
        <v>154</v>
      </c>
      <c r="B15">
        <v>835</v>
      </c>
      <c r="C15" s="11">
        <v>1118</v>
      </c>
    </row>
    <row r="16" spans="1:3">
      <c r="A16" t="s">
        <v>155</v>
      </c>
      <c r="B16">
        <v>7.8</v>
      </c>
      <c r="C16">
        <v>7.5</v>
      </c>
    </row>
    <row r="17" spans="1:3">
      <c r="A17" t="s">
        <v>156</v>
      </c>
      <c r="B17" s="11">
        <v>8200</v>
      </c>
      <c r="C17" s="11">
        <v>8385</v>
      </c>
    </row>
    <row r="18" spans="1:3">
      <c r="A18" t="s">
        <v>157</v>
      </c>
      <c r="B18" s="11">
        <v>5900</v>
      </c>
      <c r="C18" s="11">
        <v>2854</v>
      </c>
    </row>
    <row r="19" spans="1:3">
      <c r="A19" t="s">
        <v>158</v>
      </c>
      <c r="B19" s="13">
        <f>B17-B18</f>
        <v>2300</v>
      </c>
      <c r="C19" s="13">
        <f>C17-C18</f>
        <v>5531</v>
      </c>
    </row>
    <row r="21" spans="1:3">
      <c r="A21" s="6" t="s">
        <v>159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F1BA-B998-4299-9977-BC6923914988}">
  <dimension ref="A2:B22"/>
  <sheetViews>
    <sheetView workbookViewId="0">
      <selection activeCell="B24" sqref="B24"/>
    </sheetView>
  </sheetViews>
  <sheetFormatPr baseColWidth="10" defaultColWidth="8.83203125" defaultRowHeight="16"/>
  <cols>
    <col min="1" max="2" width="26.5" customWidth="1"/>
  </cols>
  <sheetData>
    <row r="2" spans="1:2">
      <c r="A2" s="6" t="s">
        <v>160</v>
      </c>
    </row>
    <row r="4" spans="1:2">
      <c r="A4" t="s">
        <v>14</v>
      </c>
      <c r="B4" t="s">
        <v>2</v>
      </c>
    </row>
    <row r="5" spans="1:2">
      <c r="A5" t="s">
        <v>161</v>
      </c>
      <c r="B5" s="11">
        <v>2300</v>
      </c>
    </row>
    <row r="6" spans="1:2">
      <c r="A6" t="s">
        <v>162</v>
      </c>
      <c r="B6" s="11">
        <v>5531</v>
      </c>
    </row>
    <row r="7" spans="1:2">
      <c r="A7" t="s">
        <v>163</v>
      </c>
      <c r="B7">
        <v>5</v>
      </c>
    </row>
    <row r="8" spans="1:2">
      <c r="A8" t="s">
        <v>41</v>
      </c>
      <c r="B8">
        <v>2.4</v>
      </c>
    </row>
    <row r="9" spans="1:2">
      <c r="A9" t="s">
        <v>43</v>
      </c>
      <c r="B9" t="s">
        <v>164</v>
      </c>
    </row>
    <row r="11" spans="1:2">
      <c r="A11" s="6" t="s">
        <v>165</v>
      </c>
    </row>
    <row r="13" spans="1:2">
      <c r="A13" s="6" t="s">
        <v>166</v>
      </c>
    </row>
    <row r="14" spans="1:2">
      <c r="A14" t="s">
        <v>49</v>
      </c>
      <c r="B14" t="s">
        <v>167</v>
      </c>
    </row>
    <row r="15" spans="1:2">
      <c r="A15" t="s">
        <v>168</v>
      </c>
      <c r="B15" s="11">
        <v>-2300</v>
      </c>
    </row>
    <row r="16" spans="1:2">
      <c r="A16" t="s">
        <v>51</v>
      </c>
      <c r="B16">
        <v>0</v>
      </c>
    </row>
    <row r="17" spans="1:2">
      <c r="A17" t="s">
        <v>52</v>
      </c>
      <c r="B17">
        <v>0</v>
      </c>
    </row>
    <row r="18" spans="1:2">
      <c r="A18" t="s">
        <v>53</v>
      </c>
      <c r="B18">
        <v>0</v>
      </c>
    </row>
    <row r="19" spans="1:2">
      <c r="A19" t="s">
        <v>54</v>
      </c>
      <c r="B19">
        <v>0</v>
      </c>
    </row>
    <row r="20" spans="1:2">
      <c r="A20" t="s">
        <v>32</v>
      </c>
      <c r="B20" s="11">
        <v>5531</v>
      </c>
    </row>
    <row r="22" spans="1:2">
      <c r="A22" s="4" t="s">
        <v>169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CB1C-1D63-4ECC-8C79-A8E8AE74795C}">
  <dimension ref="A2:E25"/>
  <sheetViews>
    <sheetView tabSelected="1" workbookViewId="0">
      <selection activeCell="A27" sqref="A27"/>
    </sheetView>
  </sheetViews>
  <sheetFormatPr baseColWidth="10" defaultColWidth="8.83203125" defaultRowHeight="16"/>
  <cols>
    <col min="1" max="1" width="27.83203125" customWidth="1"/>
    <col min="2" max="2" width="18" customWidth="1"/>
    <col min="3" max="4" width="17.83203125" customWidth="1"/>
    <col min="5" max="5" width="17.6640625" customWidth="1"/>
    <col min="6" max="6" width="17.83203125" customWidth="1"/>
  </cols>
  <sheetData>
    <row r="2" spans="1:5" ht="18">
      <c r="A2" s="9" t="s">
        <v>170</v>
      </c>
    </row>
    <row r="3" spans="1:5">
      <c r="A3" s="4" t="s">
        <v>171</v>
      </c>
      <c r="B3" s="4" t="s">
        <v>172</v>
      </c>
      <c r="C3" s="4" t="s">
        <v>173</v>
      </c>
      <c r="D3" s="4" t="s">
        <v>174</v>
      </c>
      <c r="E3" s="8">
        <v>0.05</v>
      </c>
    </row>
    <row r="4" spans="1:5">
      <c r="A4" s="4" t="s">
        <v>175</v>
      </c>
      <c r="B4" s="10">
        <v>0.14000000000000001</v>
      </c>
      <c r="C4" s="10">
        <v>0.16800000000000001</v>
      </c>
      <c r="D4" s="10">
        <v>0.19500000000000001</v>
      </c>
      <c r="E4" s="10">
        <v>0.223</v>
      </c>
    </row>
    <row r="5" spans="1:5">
      <c r="A5" s="4" t="s">
        <v>175</v>
      </c>
      <c r="B5" s="2">
        <v>0.155</v>
      </c>
      <c r="C5" s="2">
        <v>0.17499999999999999</v>
      </c>
      <c r="D5" s="15">
        <v>0.19500000000000001</v>
      </c>
      <c r="E5" s="2">
        <v>0.22</v>
      </c>
    </row>
    <row r="8" spans="1:5" ht="18">
      <c r="A8" s="9" t="s">
        <v>170</v>
      </c>
    </row>
    <row r="10" spans="1:5">
      <c r="A10" s="4" t="s">
        <v>171</v>
      </c>
      <c r="B10" t="s">
        <v>172</v>
      </c>
      <c r="C10" t="s">
        <v>173</v>
      </c>
      <c r="D10" s="14" t="s">
        <v>174</v>
      </c>
      <c r="E10" s="1">
        <v>0.05</v>
      </c>
    </row>
    <row r="11" spans="1:5">
      <c r="A11" s="4" t="s">
        <v>175</v>
      </c>
      <c r="B11" s="2">
        <v>0.14000000000000001</v>
      </c>
      <c r="C11" s="2">
        <v>0.16800000000000001</v>
      </c>
      <c r="D11" s="15">
        <v>0.19500000000000001</v>
      </c>
      <c r="E11" s="2">
        <v>0.223</v>
      </c>
    </row>
    <row r="14" spans="1:5">
      <c r="A14" s="6" t="s">
        <v>176</v>
      </c>
    </row>
    <row r="15" spans="1:5">
      <c r="A15" t="s">
        <v>14</v>
      </c>
      <c r="B15" t="s">
        <v>30</v>
      </c>
      <c r="C15" t="s">
        <v>177</v>
      </c>
    </row>
    <row r="16" spans="1:5">
      <c r="A16" t="s">
        <v>178</v>
      </c>
      <c r="B16" s="2">
        <v>0.03</v>
      </c>
      <c r="C16" s="2">
        <v>1.4999999999999999E-2</v>
      </c>
    </row>
    <row r="17" spans="1:3">
      <c r="A17" t="s">
        <v>179</v>
      </c>
      <c r="B17" s="11">
        <v>1118</v>
      </c>
      <c r="C17" s="11">
        <v>1000</v>
      </c>
    </row>
    <row r="18" spans="1:3">
      <c r="A18" t="s">
        <v>180</v>
      </c>
      <c r="B18">
        <v>7.5</v>
      </c>
      <c r="C18">
        <v>6.75</v>
      </c>
    </row>
    <row r="19" spans="1:3">
      <c r="A19" t="s">
        <v>181</v>
      </c>
      <c r="B19" s="11">
        <v>8385</v>
      </c>
      <c r="C19" s="11">
        <v>6750</v>
      </c>
    </row>
    <row r="20" spans="1:3">
      <c r="A20" t="s">
        <v>182</v>
      </c>
      <c r="B20" s="11">
        <v>-2854</v>
      </c>
      <c r="C20" s="11">
        <v>-3200</v>
      </c>
    </row>
    <row r="21" spans="1:3">
      <c r="A21" t="s">
        <v>158</v>
      </c>
      <c r="B21" s="13">
        <v>5531</v>
      </c>
      <c r="C21" s="13">
        <v>3550</v>
      </c>
    </row>
    <row r="22" spans="1:3">
      <c r="A22" t="s">
        <v>175</v>
      </c>
      <c r="B22" t="s">
        <v>164</v>
      </c>
      <c r="C22" t="s">
        <v>183</v>
      </c>
    </row>
    <row r="23" spans="1:3">
      <c r="A23" t="s">
        <v>184</v>
      </c>
      <c r="B23" t="s">
        <v>185</v>
      </c>
      <c r="C23" t="s">
        <v>186</v>
      </c>
    </row>
    <row r="25" spans="1:3">
      <c r="A25" s="16" t="s">
        <v>187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Deal Overview </vt:lpstr>
      <vt:lpstr>Operating Assumptions</vt:lpstr>
      <vt:lpstr>Historical Financials</vt:lpstr>
      <vt:lpstr>Operating Projections</vt:lpstr>
      <vt:lpstr>Free Cash Flow &amp; Cash Avialable</vt:lpstr>
      <vt:lpstr>Sources and Uses</vt:lpstr>
      <vt:lpstr>Debt Schedule &amp; Cash sweep</vt:lpstr>
      <vt:lpstr>Exit Analysis</vt:lpstr>
      <vt:lpstr>Returns Summary</vt:lpstr>
      <vt:lpstr>Sensitivities &amp; Downside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 Gaurav</dc:creator>
  <cp:keywords/>
  <dc:description/>
  <cp:lastModifiedBy>. Gaurav</cp:lastModifiedBy>
  <cp:revision/>
  <dcterms:created xsi:type="dcterms:W3CDTF">2026-01-04T18:59:10Z</dcterms:created>
  <dcterms:modified xsi:type="dcterms:W3CDTF">2026-01-30T04:02:00Z</dcterms:modified>
  <cp:category/>
  <cp:contentStatus/>
</cp:coreProperties>
</file>