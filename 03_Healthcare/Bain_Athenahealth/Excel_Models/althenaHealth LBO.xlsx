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uaravkhurana586/Desktop/Final Check List/athenahealth/"/>
    </mc:Choice>
  </mc:AlternateContent>
  <xr:revisionPtr revIDLastSave="0" documentId="13_ncr:1_{B5438067-F062-3548-B76A-18AB35A7983A}" xr6:coauthVersionLast="47" xr6:coauthVersionMax="47" xr10:uidLastSave="{00000000-0000-0000-0000-000000000000}"/>
  <bookViews>
    <workbookView xWindow="0" yWindow="500" windowWidth="28800" windowHeight="16620" firstSheet="3" activeTab="10" xr2:uid="{164C4839-1EB2-C84B-B7C2-169C5ACC479B}"/>
  </bookViews>
  <sheets>
    <sheet name="Control &amp; Deal Assumptions" sheetId="7" r:id="rId1"/>
    <sheet name="Operating Assumptions" sheetId="8" r:id="rId2"/>
    <sheet name="Historical Fiancials" sheetId="9" r:id="rId3"/>
    <sheet name="Operating Projections" sheetId="10" r:id="rId4"/>
    <sheet name="Free Cash Flow &amp; Cash Avialable" sheetId="11" r:id="rId5"/>
    <sheet name="Sources &amp; Uses" sheetId="12" r:id="rId6"/>
    <sheet name="Debt Schedule &amp; Cash Sweep" sheetId="13" r:id="rId7"/>
    <sheet name="Exit Analysis" sheetId="14" r:id="rId8"/>
    <sheet name="Returns Summary" sheetId="15" r:id="rId9"/>
    <sheet name="Sensitivity Analysis" sheetId="16" r:id="rId10"/>
    <sheet name="Downside or Break Case" sheetId="1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7" l="1"/>
  <c r="B16" i="17"/>
  <c r="B15" i="17"/>
  <c r="D18" i="13"/>
  <c r="E18" i="13"/>
  <c r="F18" i="13"/>
  <c r="G18" i="13"/>
  <c r="C18" i="13"/>
  <c r="D16" i="13"/>
  <c r="E16" i="13"/>
  <c r="F16" i="13"/>
  <c r="G16" i="13"/>
  <c r="C16" i="13"/>
  <c r="D14" i="13"/>
  <c r="E14" i="13"/>
  <c r="F14" i="13"/>
  <c r="G14" i="13"/>
  <c r="C14" i="13"/>
  <c r="D11" i="13"/>
  <c r="E11" i="13"/>
  <c r="F11" i="13"/>
  <c r="G11" i="13"/>
  <c r="C11" i="13"/>
  <c r="D10" i="13"/>
  <c r="E10" i="13"/>
  <c r="F10" i="13"/>
  <c r="G10" i="13"/>
  <c r="C10" i="13"/>
  <c r="D9" i="13" a="1"/>
  <c r="D9" i="13"/>
  <c r="E9" i="13" a="1"/>
  <c r="E9" i="13"/>
  <c r="F9" i="13" a="1"/>
  <c r="F9" i="13"/>
  <c r="G9" i="13" a="1"/>
  <c r="G9" i="13"/>
  <c r="C9" i="13" a="1"/>
  <c r="C9" i="13"/>
  <c r="C9" i="11"/>
  <c r="D9" i="11"/>
  <c r="E9" i="11"/>
  <c r="F9" i="11"/>
  <c r="G9" i="11"/>
  <c r="B9" i="11"/>
  <c r="B3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<sst xmlns="http://schemas.openxmlformats.org/spreadsheetml/2006/main" count="310" uniqueCount="201">
  <si>
    <t>Key Deal Metrics</t>
  </si>
  <si>
    <t>Target</t>
  </si>
  <si>
    <t>Athenahealth, Inc.</t>
  </si>
  <si>
    <t>Sponsor</t>
  </si>
  <si>
    <t>Bain Capital</t>
  </si>
  <si>
    <t>Transaction Type</t>
  </si>
  <si>
    <t>Leveraged Buyout</t>
  </si>
  <si>
    <t>Entry Enterprise Value</t>
  </si>
  <si>
    <t>LTM EBITDA</t>
  </si>
  <si>
    <t>Entry EV / EBITDA</t>
  </si>
  <si>
    <t xml:space="preserve">26.2 x </t>
  </si>
  <si>
    <t>Holding Period (Years)</t>
  </si>
  <si>
    <t>Exit EV / EBITDA (Base)</t>
  </si>
  <si>
    <t xml:space="preserve">24.0 x </t>
  </si>
  <si>
    <t>Equity Invested</t>
  </si>
  <si>
    <t>Capital Structure at Entry</t>
  </si>
  <si>
    <t>Metric</t>
  </si>
  <si>
    <t>Value</t>
  </si>
  <si>
    <t>Total Debt</t>
  </si>
  <si>
    <t>Debt / EV</t>
  </si>
  <si>
    <t>Debt / EBITDA</t>
  </si>
  <si>
    <t>14.6 x</t>
  </si>
  <si>
    <t>Equity Contribution (%)</t>
  </si>
  <si>
    <t>Returns Summary</t>
  </si>
  <si>
    <t>Exit Enterprise Value</t>
  </si>
  <si>
    <t>Equity Proceeds</t>
  </si>
  <si>
    <t>MOIC</t>
  </si>
  <si>
    <t xml:space="preserve">2.5 x </t>
  </si>
  <si>
    <t>IRR</t>
  </si>
  <si>
    <t>26-27%</t>
  </si>
  <si>
    <t>Base case delivers attractive mid-20s IRR driven primarily by EBITDA growth and deleveraging.</t>
  </si>
  <si>
    <t>Revenue Growth Assumptions</t>
  </si>
  <si>
    <t>Year</t>
  </si>
  <si>
    <t>Growth %</t>
  </si>
  <si>
    <t>Year 1</t>
  </si>
  <si>
    <t>Year 2</t>
  </si>
  <si>
    <t>Year 3</t>
  </si>
  <si>
    <t>Year 4</t>
  </si>
  <si>
    <t>Year 5</t>
  </si>
  <si>
    <t>EBITDA Margin Assumptions</t>
  </si>
  <si>
    <t>EBITDA %</t>
  </si>
  <si>
    <t>LTM</t>
  </si>
  <si>
    <t>Capital Expenditure Assumptions</t>
  </si>
  <si>
    <t>Capex Type</t>
  </si>
  <si>
    <t>% of Revenue</t>
  </si>
  <si>
    <t>Maintenance Capex</t>
  </si>
  <si>
    <t>Growth Capex</t>
  </si>
  <si>
    <t>Total Capex</t>
  </si>
  <si>
    <t>Net Working Capital</t>
  </si>
  <si>
    <t xml:space="preserve">Metric </t>
  </si>
  <si>
    <t>NWC (% of Revenue)</t>
  </si>
  <si>
    <t>Annual Change</t>
  </si>
  <si>
    <t>Minimal / Neutral</t>
  </si>
  <si>
    <t>Cash Tax Assumptions</t>
  </si>
  <si>
    <t>Item</t>
  </si>
  <si>
    <t>Statutory Tax Rate</t>
  </si>
  <si>
    <t>Cash Taxes Start</t>
  </si>
  <si>
    <t>Base case reflects conservative healthcare IT growth assumptions, modest margin expansion driven by operating leverage, and disciplined capital spending. No multiple expansion or aggressive cost cuts assumed.</t>
  </si>
  <si>
    <t>Income Statement -Historical</t>
  </si>
  <si>
    <t>USD (mm)</t>
  </si>
  <si>
    <t>FY–2</t>
  </si>
  <si>
    <t>FY–1</t>
  </si>
  <si>
    <t>FY</t>
  </si>
  <si>
    <t>Revenue</t>
  </si>
  <si>
    <t>YoY Growth</t>
  </si>
  <si>
    <t>—</t>
  </si>
  <si>
    <t>EBITDA</t>
  </si>
  <si>
    <t>EBITDA Margin</t>
  </si>
  <si>
    <t>Cash Flow Reference</t>
  </si>
  <si>
    <t xml:space="preserve"> Metric USD (mm)</t>
  </si>
  <si>
    <t>Capital Expenditures</t>
  </si>
  <si>
    <t>Capex (% Revenue)</t>
  </si>
  <si>
    <t>Cash Taxes</t>
  </si>
  <si>
    <t>EBITDA Bridge</t>
  </si>
  <si>
    <t>Driver</t>
  </si>
  <si>
    <t>Impact ($mm)</t>
  </si>
  <si>
    <t>Revenue Growth</t>
  </si>
  <si>
    <t>Cost Leverage</t>
  </si>
  <si>
    <t>Other</t>
  </si>
  <si>
    <t>Total EBITDA Increase</t>
  </si>
  <si>
    <t>Operating KPI Dashboard</t>
  </si>
  <si>
    <t>KPI</t>
  </si>
  <si>
    <t>Y1</t>
  </si>
  <si>
    <t>Y2</t>
  </si>
  <si>
    <t>Y3</t>
  </si>
  <si>
    <t>Y4</t>
  </si>
  <si>
    <t>Y5</t>
  </si>
  <si>
    <t>Providers on Platform</t>
  </si>
  <si>
    <t>YoY Provider Growth</t>
  </si>
  <si>
    <t>Revenue per Provider ($)</t>
  </si>
  <si>
    <t>YoY ARPU Growth</t>
  </si>
  <si>
    <t>Total Revenue ($mm)</t>
  </si>
  <si>
    <t>Revenue Growth Bridge</t>
  </si>
  <si>
    <t>Contribution ($mm)</t>
  </si>
  <si>
    <t>Provider Growth</t>
  </si>
  <si>
    <t>Pricing / ARPU Expansion</t>
  </si>
  <si>
    <t>Total Revenue Growth</t>
  </si>
  <si>
    <t>Revenue Projection</t>
  </si>
  <si>
    <t xml:space="preserve">EBITDA Build </t>
  </si>
  <si>
    <t>EBITDA Margin %</t>
  </si>
  <si>
    <t>Impact</t>
  </si>
  <si>
    <t>Margin Expansion</t>
  </si>
  <si>
    <t>Total EBITDA Growth</t>
  </si>
  <si>
    <t>EBITDA growth driven by steady revenue expansion and operating leverage; no cost restructuring assumed</t>
  </si>
  <si>
    <t>Footnote: Revenue modeled as the number of providers on the platform multiplied by average revenue per provider. Growth driven by modest provider additions and pricing expansion, consistent with a mature healthcare IT platform.</t>
  </si>
  <si>
    <t>Free Cash Flow Calculation</t>
  </si>
  <si>
    <t>Change in Net Working Capital</t>
  </si>
  <si>
    <t>Unlevered Free Cash Flow</t>
  </si>
  <si>
    <t>Cash Avialable For Debt Repayment</t>
  </si>
  <si>
    <t>Cash Available</t>
  </si>
  <si>
    <t>Sources &amp; Uses</t>
  </si>
  <si>
    <t>Uses of Funds</t>
  </si>
  <si>
    <t>Sources Of Funds</t>
  </si>
  <si>
    <t>Amount</t>
  </si>
  <si>
    <t>Purchase Equity Value</t>
  </si>
  <si>
    <t>Term Loan B</t>
  </si>
  <si>
    <t>Refinance Existing Debt</t>
  </si>
  <si>
    <t>Subordinated / Notes</t>
  </si>
  <si>
    <t>Transaction Fees</t>
  </si>
  <si>
    <t>Sponsor Equity</t>
  </si>
  <si>
    <t>Financing Fees</t>
  </si>
  <si>
    <t>Total Sources</t>
  </si>
  <si>
    <t>Total Uses</t>
  </si>
  <si>
    <t>Entry Capitization Check</t>
  </si>
  <si>
    <t>Total Equity</t>
  </si>
  <si>
    <t>Equity / EV</t>
  </si>
  <si>
    <t>Debt Schedule &amp; Cash Sweep</t>
  </si>
  <si>
    <t>Close</t>
  </si>
  <si>
    <t>Opening Balance – Term Loan B</t>
  </si>
  <si>
    <t>Opening Balance – Sub Debt</t>
  </si>
  <si>
    <t>Total Opening Debt</t>
  </si>
  <si>
    <t>Mandatory Amortization (TLB)</t>
  </si>
  <si>
    <t>Cash Sweep to Term Loan B</t>
  </si>
  <si>
    <t>Cash Sweep to Sub Debt</t>
  </si>
  <si>
    <t>Total Debt Repayment</t>
  </si>
  <si>
    <t>Ending Balance – Term Loan B</t>
  </si>
  <si>
    <t>Ending Balance – Sub Debt</t>
  </si>
  <si>
    <t>Total Ending Debt</t>
  </si>
  <si>
    <t>Footnote: Cash available for debt repayment is sourced from unlevered free cash flow. Mandatory amortization is applied first, with 100% of remaining excess cash swept to senior Term Loan B before subordinated debt.</t>
  </si>
  <si>
    <t>Exit Assumptions &amp; Proceeds</t>
  </si>
  <si>
    <t>Base Case</t>
  </si>
  <si>
    <t>Exit Year</t>
  </si>
  <si>
    <t>Exit EBITDA</t>
  </si>
  <si>
    <t>Exit EV / EBITDA</t>
  </si>
  <si>
    <t>24.0x</t>
  </si>
  <si>
    <t>Less: Net Debt at Exit</t>
  </si>
  <si>
    <t>Equity Value at Exit</t>
  </si>
  <si>
    <t>Entry vs Exit Sanity Check</t>
  </si>
  <si>
    <t>Entry</t>
  </si>
  <si>
    <t>Exit</t>
  </si>
  <si>
    <t>EBITDA ($mm)</t>
  </si>
  <si>
    <t>EV / EBITDA</t>
  </si>
  <si>
    <t>26.2x</t>
  </si>
  <si>
    <t>Enterprise Value ($mm)</t>
  </si>
  <si>
    <t>Exit assumes a sale at the end of Year 5 at a conservative multiple below the entry, with net debt reflecting a full cash sweep through exit.</t>
  </si>
  <si>
    <t>Core Returns</t>
  </si>
  <si>
    <t>Entry Equity Invested</t>
  </si>
  <si>
    <t>Exit Equity Value</t>
  </si>
  <si>
    <t>2.85x</t>
  </si>
  <si>
    <t>Equity Cash Flows</t>
  </si>
  <si>
    <t>Cash Flow</t>
  </si>
  <si>
    <t>Year 0</t>
  </si>
  <si>
    <t>Year 1–4</t>
  </si>
  <si>
    <t>Base case generates a high-20s IRR and ~2.9x MOIC driven primarily by EBITDA growth and debt paydown, with no reliance on multiple expansion.</t>
  </si>
  <si>
    <t>Exit Multiple vs IRR</t>
  </si>
  <si>
    <t>IRR Sensitivity — Exit Multiple</t>
  </si>
  <si>
    <t>22.0x</t>
  </si>
  <si>
    <t>23.0x</t>
  </si>
  <si>
    <t xml:space="preserve">24.0x </t>
  </si>
  <si>
    <t>25.0x</t>
  </si>
  <si>
    <t>26.0x</t>
  </si>
  <si>
    <t>IRR (%)</t>
  </si>
  <si>
    <t>EBITDA vs IRR</t>
  </si>
  <si>
    <t>EBITDA Case</t>
  </si>
  <si>
    <t>–10%</t>
  </si>
  <si>
    <t>–5%</t>
  </si>
  <si>
    <t>Base</t>
  </si>
  <si>
    <t>MOIC Sensitivity — Exit Multiple</t>
  </si>
  <si>
    <t>MOIC (x)</t>
  </si>
  <si>
    <t>2.2x</t>
  </si>
  <si>
    <t>2.5x</t>
  </si>
  <si>
    <t>2.9x</t>
  </si>
  <si>
    <t>3.2x</t>
  </si>
  <si>
    <t>3.6x</t>
  </si>
  <si>
    <t>Sensitivities assume all other assumptions held constant. EBITDA sensitivity reflects proportional change to exit-year EBITDA only.</t>
  </si>
  <si>
    <t>Downside Case Assumptions</t>
  </si>
  <si>
    <t>Assumption</t>
  </si>
  <si>
    <t>Downside Case</t>
  </si>
  <si>
    <t>Revenue CAGR (5Y)</t>
  </si>
  <si>
    <t>6–7%</t>
  </si>
  <si>
    <t>EBITDA Margin (Exit)</t>
  </si>
  <si>
    <t>Cash Sweep</t>
  </si>
  <si>
    <t>Downside Operating Impact</t>
  </si>
  <si>
    <t>Exit EBITDA ($mm)</t>
  </si>
  <si>
    <t>Exit Enterprise Value ($mm)</t>
  </si>
  <si>
    <t>Net Debt at Exit ($mm)</t>
  </si>
  <si>
    <t>Equity Value ($mm)</t>
  </si>
  <si>
    <t>Downside Returns</t>
  </si>
  <si>
    <t>Equity Invested ($mm)</t>
  </si>
  <si>
    <t>5–16%</t>
  </si>
  <si>
    <t>The downside case assumes reduced operating performance and exit multiple compression, with no change to capital structure, debt repayment priority, or sponsor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</si>
</sst>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>
    <font>
      <sz val="12"/>
      <color theme="1"/>
      <name val="TimesNewRomanPSMT"/>
      <family val="2"/>
    </font>
    <font>
      <b/>
      <sz val="12"/>
      <color rgb="FF000000"/>
      <name val="TimesNewRomanPSMT"/>
    </font>
    <font>
      <b/>
      <sz val="12"/>
      <color theme="1"/>
      <name val="TimesNewRomanPSMT"/>
      <family val="2"/>
    </font>
    <font>
      <b/>
      <sz val="12"/>
      <color rgb="FF002060"/>
      <name val="TimesNewRomanPSMT"/>
      <family val="2"/>
    </font>
    <font>
      <b/>
      <sz val="13.5"/>
      <color theme="1"/>
      <name val="TimesNewRomanPSMT"/>
      <family val="2"/>
    </font>
    <font>
      <b/>
      <sz val="12"/>
      <color theme="7" tint="-0.499984740745262"/>
      <name val="TimesNewRomanPSMT"/>
      <family val="2"/>
    </font>
    <font>
      <sz val="12"/>
      <color rgb="FF002060"/>
      <name val="TimesNewRomanPSMT"/>
      <family val="2"/>
    </font>
    <font>
      <b/>
      <sz val="12"/>
      <color theme="1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4" fillId="0" borderId="0" xfId="0" applyFont="1"/>
    <xf numFmtId="10" fontId="2" fillId="0" borderId="0" xfId="0" applyNumberFormat="1" applyFont="1"/>
    <xf numFmtId="10" fontId="5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3" fontId="3" fillId="0" borderId="0" xfId="0" applyNumberFormat="1" applyFont="1"/>
    <xf numFmtId="0" fontId="3" fillId="0" borderId="0" xfId="0" applyFont="1"/>
    <xf numFmtId="6" fontId="3" fillId="0" borderId="0" xfId="0" applyNumberFormat="1" applyFont="1"/>
    <xf numFmtId="6" fontId="0" fillId="0" borderId="0" xfId="0" applyNumberFormat="1"/>
    <xf numFmtId="9" fontId="3" fillId="0" borderId="0" xfId="0" applyNumberFormat="1" applyFont="1"/>
    <xf numFmtId="0" fontId="2" fillId="2" borderId="0" xfId="0" applyFont="1" applyFill="1"/>
    <xf numFmtId="10" fontId="2" fillId="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52">
    <dxf>
      <numFmt numFmtId="3" formatCode="#,##0"/>
    </dxf>
    <dxf>
      <numFmt numFmtId="3" formatCode="#,##0"/>
    </dxf>
    <dxf>
      <font>
        <b/>
      </font>
      <fill>
        <patternFill patternType="solid">
          <fgColor indexed="64"/>
          <bgColor rgb="FFFFFF00"/>
        </patternFill>
      </fill>
    </dxf>
    <dxf>
      <numFmt numFmtId="13" formatCode="0%"/>
    </dxf>
    <dxf>
      <numFmt numFmtId="13" formatCode="0%"/>
    </dxf>
    <dxf>
      <font>
        <b/>
      </font>
      <fill>
        <patternFill patternType="solid">
          <fgColor indexed="64"/>
          <bgColor rgb="FFFFFF00"/>
        </patternFill>
      </fill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0" formatCode="&quot;$&quot;#,##0_);[Red]\(&quot;$&quot;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 val="0"/>
      </font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Providers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Projections'!$B$3</c:f>
              <c:strCache>
                <c:ptCount val="1"/>
                <c:pt idx="0">
                  <c:v>LTM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Projections'!$A$4</c:f>
              <c:strCache>
                <c:ptCount val="1"/>
                <c:pt idx="0">
                  <c:v>Providers on Platform</c:v>
                </c:pt>
              </c:strCache>
            </c:strRef>
          </c:cat>
          <c:val>
            <c:numRef>
              <c:f>'Operating Projections'!$B$4</c:f>
              <c:numCache>
                <c:formatCode>#,##0</c:formatCode>
                <c:ptCount val="1"/>
                <c:pt idx="0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0-4F16-986A-16EE63523CCE}"/>
            </c:ext>
          </c:extLst>
        </c:ser>
        <c:ser>
          <c:idx val="1"/>
          <c:order val="1"/>
          <c:tx>
            <c:strRef>
              <c:f>'Operating Projections'!$C$3</c:f>
              <c:strCache>
                <c:ptCount val="1"/>
                <c:pt idx="0">
                  <c:v>Y1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Projections'!$A$4</c:f>
              <c:strCache>
                <c:ptCount val="1"/>
                <c:pt idx="0">
                  <c:v>Providers on Platform</c:v>
                </c:pt>
              </c:strCache>
            </c:strRef>
          </c:cat>
          <c:val>
            <c:numRef>
              <c:f>'Operating Projections'!$C$4</c:f>
              <c:numCache>
                <c:formatCode>#,##0</c:formatCode>
                <c:ptCount val="1"/>
                <c:pt idx="0">
                  <c:v>165000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40-4F16-986A-16EE63523CCE}"/>
            </c:ext>
          </c:extLst>
        </c:ser>
        <c:ser>
          <c:idx val="2"/>
          <c:order val="2"/>
          <c:tx>
            <c:strRef>
              <c:f>'Operating Projections'!$D$3</c:f>
              <c:strCache>
                <c:ptCount val="1"/>
                <c:pt idx="0">
                  <c:v>Y2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Projections'!$A$4</c:f>
              <c:strCache>
                <c:ptCount val="1"/>
                <c:pt idx="0">
                  <c:v>Providers on Platform</c:v>
                </c:pt>
              </c:strCache>
            </c:strRef>
          </c:cat>
          <c:val>
            <c:numRef>
              <c:f>'Operating Projections'!$D$4</c:f>
              <c:numCache>
                <c:formatCode>#,##0</c:formatCode>
                <c:ptCount val="1"/>
                <c:pt idx="0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40-4F16-986A-16EE63523CCE}"/>
            </c:ext>
          </c:extLst>
        </c:ser>
        <c:ser>
          <c:idx val="3"/>
          <c:order val="3"/>
          <c:tx>
            <c:strRef>
              <c:f>'Operating Projections'!$E$3</c:f>
              <c:strCache>
                <c:ptCount val="1"/>
                <c:pt idx="0">
                  <c:v>Y3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Projections'!$A$4</c:f>
              <c:strCache>
                <c:ptCount val="1"/>
                <c:pt idx="0">
                  <c:v>Providers on Platform</c:v>
                </c:pt>
              </c:strCache>
            </c:strRef>
          </c:cat>
          <c:val>
            <c:numRef>
              <c:f>'Operating Projections'!$E$4</c:f>
              <c:numCache>
                <c:formatCode>#,##0</c:formatCode>
                <c:ptCount val="1"/>
                <c:pt idx="0">
                  <c:v>178000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40-4F16-986A-16EE63523CCE}"/>
            </c:ext>
          </c:extLst>
        </c:ser>
        <c:ser>
          <c:idx val="4"/>
          <c:order val="4"/>
          <c:tx>
            <c:strRef>
              <c:f>'Operating Projections'!$F$3</c:f>
              <c:strCache>
                <c:ptCount val="1"/>
                <c:pt idx="0">
                  <c:v>Y4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Projections'!$A$4</c:f>
              <c:strCache>
                <c:ptCount val="1"/>
                <c:pt idx="0">
                  <c:v>Providers on Platform</c:v>
                </c:pt>
              </c:strCache>
            </c:strRef>
          </c:cat>
          <c:val>
            <c:numRef>
              <c:f>'Operating Projections'!$F$4</c:f>
              <c:numCache>
                <c:formatCode>#,##0</c:formatCode>
                <c:ptCount val="1"/>
                <c:pt idx="0">
                  <c:v>185000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40-4F16-986A-16EE63523CCE}"/>
            </c:ext>
          </c:extLst>
        </c:ser>
        <c:ser>
          <c:idx val="5"/>
          <c:order val="5"/>
          <c:tx>
            <c:strRef>
              <c:f>'Operating Projections'!$G$3</c:f>
              <c:strCache>
                <c:ptCount val="1"/>
                <c:pt idx="0">
                  <c:v>Y5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Projections'!$A$4</c:f>
              <c:strCache>
                <c:ptCount val="1"/>
                <c:pt idx="0">
                  <c:v>Providers on Platform</c:v>
                </c:pt>
              </c:strCache>
            </c:strRef>
          </c:cat>
          <c:val>
            <c:numRef>
              <c:f>'Operating Projections'!$G$4</c:f>
              <c:numCache>
                <c:formatCode>#,##0</c:formatCode>
                <c:ptCount val="1"/>
                <c:pt idx="0">
                  <c:v>191000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40-4F16-986A-16EE63523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3539591"/>
        <c:axId val="913541639"/>
      </c:barChart>
      <c:catAx>
        <c:axId val="91353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41639"/>
        <c:crosses val="autoZero"/>
        <c:auto val="1"/>
        <c:lblAlgn val="ctr"/>
        <c:lblOffset val="100"/>
        <c:noMultiLvlLbl val="0"/>
      </c:catAx>
      <c:valAx>
        <c:axId val="913541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'Operating Projections'!$B$3</c:f>
              <c:strCache>
                <c:ptCount val="1"/>
                <c:pt idx="0">
                  <c:v>LTM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Projections'!$A$6</c:f>
              <c:strCache>
                <c:ptCount val="1"/>
                <c:pt idx="0">
                  <c:v>Revenue per Provider ($)</c:v>
                </c:pt>
              </c:strCache>
            </c:strRef>
          </c:cat>
          <c:val>
            <c:numRef>
              <c:f>'Operating Projections'!$B$6</c:f>
              <c:numCache>
                <c:formatCode>#,##0</c:formatCode>
                <c:ptCount val="1"/>
                <c:pt idx="0">
                  <c:v>11375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7-4028-A876-77ED0AC9C22E}"/>
            </c:ext>
          </c:extLst>
        </c:ser>
        <c:ser>
          <c:idx val="1"/>
          <c:order val="1"/>
          <c:tx>
            <c:strRef>
              <c:f>'Operating Projections'!$C$3</c:f>
              <c:strCache>
                <c:ptCount val="1"/>
                <c:pt idx="0">
                  <c:v>Y1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Projections'!$A$6</c:f>
              <c:strCache>
                <c:ptCount val="1"/>
                <c:pt idx="0">
                  <c:v>Revenue per Provider ($)</c:v>
                </c:pt>
              </c:strCache>
            </c:strRef>
          </c:cat>
          <c:val>
            <c:numRef>
              <c:f>'Operating Projections'!$C$6</c:f>
              <c:numCache>
                <c:formatCode>#,##0</c:formatCode>
                <c:ptCount val="1"/>
                <c:pt idx="0">
                  <c:v>11690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7-4028-A876-77ED0AC9C22E}"/>
            </c:ext>
          </c:extLst>
        </c:ser>
        <c:ser>
          <c:idx val="2"/>
          <c:order val="2"/>
          <c:tx>
            <c:strRef>
              <c:f>'Operating Projections'!$D$3</c:f>
              <c:strCache>
                <c:ptCount val="1"/>
                <c:pt idx="0">
                  <c:v>Y2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Projections'!$A$6</c:f>
              <c:strCache>
                <c:ptCount val="1"/>
                <c:pt idx="0">
                  <c:v>Revenue per Provider ($)</c:v>
                </c:pt>
              </c:strCache>
            </c:strRef>
          </c:cat>
          <c:val>
            <c:numRef>
              <c:f>'Operating Projections'!$D$6</c:f>
              <c:numCache>
                <c:formatCode>#,##0</c:formatCode>
                <c:ptCount val="1"/>
                <c:pt idx="0">
                  <c:v>12070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F7-4028-A876-77ED0AC9C22E}"/>
            </c:ext>
          </c:extLst>
        </c:ser>
        <c:ser>
          <c:idx val="3"/>
          <c:order val="3"/>
          <c:tx>
            <c:strRef>
              <c:f>'Operating Projections'!$E$3</c:f>
              <c:strCache>
                <c:ptCount val="1"/>
                <c:pt idx="0">
                  <c:v>Y3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Projections'!$A$6</c:f>
              <c:strCache>
                <c:ptCount val="1"/>
                <c:pt idx="0">
                  <c:v>Revenue per Provider ($)</c:v>
                </c:pt>
              </c:strCache>
            </c:strRef>
          </c:cat>
          <c:val>
            <c:numRef>
              <c:f>'Operating Projections'!$E$6</c:f>
              <c:numCache>
                <c:formatCode>#,##0</c:formatCode>
                <c:ptCount val="1"/>
                <c:pt idx="0">
                  <c:v>12470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F7-4028-A876-77ED0AC9C22E}"/>
            </c:ext>
          </c:extLst>
        </c:ser>
        <c:ser>
          <c:idx val="4"/>
          <c:order val="4"/>
          <c:tx>
            <c:strRef>
              <c:f>'Operating Projections'!$F$3</c:f>
              <c:strCache>
                <c:ptCount val="1"/>
                <c:pt idx="0">
                  <c:v>Y4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'Operating Projections'!$A$6</c:f>
              <c:strCache>
                <c:ptCount val="1"/>
                <c:pt idx="0">
                  <c:v>Revenue per Provider ($)</c:v>
                </c:pt>
              </c:strCache>
            </c:strRef>
          </c:cat>
          <c:val>
            <c:numRef>
              <c:f>'Operating Projections'!$F$6</c:f>
              <c:numCache>
                <c:formatCode>#,##0</c:formatCode>
                <c:ptCount val="1"/>
                <c:pt idx="0">
                  <c:v>12770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F7-4028-A876-77ED0AC9C22E}"/>
            </c:ext>
          </c:extLst>
        </c:ser>
        <c:ser>
          <c:idx val="5"/>
          <c:order val="5"/>
          <c:tx>
            <c:strRef>
              <c:f>'Operating Projections'!$G$3</c:f>
              <c:strCache>
                <c:ptCount val="1"/>
                <c:pt idx="0">
                  <c:v>Y5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'Operating Projections'!$A$6</c:f>
              <c:strCache>
                <c:ptCount val="1"/>
                <c:pt idx="0">
                  <c:v>Revenue per Provider ($)</c:v>
                </c:pt>
              </c:strCache>
            </c:strRef>
          </c:cat>
          <c:val>
            <c:numRef>
              <c:f>'Operating Projections'!$G$6</c:f>
              <c:numCache>
                <c:formatCode>#,##0</c:formatCode>
                <c:ptCount val="1"/>
                <c:pt idx="0">
                  <c:v>13050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F7-4028-A876-77ED0AC9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0539272"/>
        <c:axId val="2076353544"/>
      </c:barChart>
      <c:catAx>
        <c:axId val="143053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353544"/>
        <c:crosses val="autoZero"/>
        <c:auto val="1"/>
        <c:lblAlgn val="ctr"/>
        <c:lblOffset val="100"/>
        <c:noMultiLvlLbl val="0"/>
      </c:catAx>
      <c:valAx>
        <c:axId val="207635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39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0</xdr:rowOff>
    </xdr:from>
    <xdr:to>
      <xdr:col>14</xdr:col>
      <xdr:colOff>638175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818CA-E396-D4D4-2BD2-AA20FB8D4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733425</xdr:colOff>
      <xdr:row>18</xdr:row>
      <xdr:rowOff>19050</xdr:rowOff>
    </xdr:from>
    <xdr:to>
      <xdr:col>14</xdr:col>
      <xdr:colOff>733425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DB9E40-1510-8893-563D-6670A215688C}"/>
            </a:ext>
            <a:ext uri="{147F2762-F138-4A5C-976F-8EAC2B608ADB}">
              <a16:predDERef xmlns:a16="http://schemas.microsoft.com/office/drawing/2014/main" pred="{6EE818CA-E396-D4D4-2BD2-AA20FB8D4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D862B2-7946-4504-AC24-17EBD766099B}" name="Table8" displayName="Table8" ref="A5:B13" headerRowCount="0" totalsRowShown="0" headerRowDxfId="51">
  <tableColumns count="2">
    <tableColumn id="1" xr3:uid="{A08DA3FE-B34C-4D81-9154-676AAFC6BC96}" name="Item" headerRowDxfId="50"/>
    <tableColumn id="2" xr3:uid="{E11E37F9-27BE-474D-A176-6113F6566D67}" name="Value" headerRowDxfId="49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25EF37F-21B4-490F-9C13-F5D9D9E092D5}" name="Table22" displayName="Table22" ref="A18:B22" headerRowCount="0" totalsRowShown="0" headerRowDxfId="47">
  <tableColumns count="2">
    <tableColumn id="1" xr3:uid="{3FAC0C0A-157B-4D0E-AE5D-A072CD5A0AA2}" name="Column1" headerRowDxfId="46"/>
    <tableColumn id="2" xr3:uid="{9D63D462-E5A4-4C5A-B932-BAFA82302590}" name="Column2" headerRowDxfId="45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3A61888-40A2-47DC-AD12-AC64A5EF481E}" name="Table23" displayName="Table23" ref="A27:B31" headerRowCount="0" totalsRowShown="0" headerRowDxfId="43">
  <tableColumns count="2">
    <tableColumn id="1" xr3:uid="{BC91DAD5-438E-4789-8FB7-26424AFECBAA}" name="Column1" headerRowDxfId="42"/>
    <tableColumn id="2" xr3:uid="{B19BAC5F-4C9D-461B-9EA1-7AB6A55D2A46}" name="Column2" headerRowDxfId="41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B74671-85A4-4D6E-B4C0-6186B47BA8DA}" name="Table24" displayName="Table24" ref="A3:B8" totalsRowShown="0" headerRowDxfId="39">
  <autoFilter ref="A3:B8" xr:uid="{32B74671-85A4-4D6E-B4C0-6186B47BA8DA}"/>
  <tableColumns count="2">
    <tableColumn id="1" xr3:uid="{59D3238D-2E78-47EB-BCE2-2DD5E32179F0}" name="Year"/>
    <tableColumn id="2" xr3:uid="{7B7AA570-BB8D-48A8-B426-2029F044B1CD}" name="Growth %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575FDCD-AD4B-4BB6-90B0-5419625F13C1}" name="Table25" displayName="Table25" ref="A12:B18" totalsRowShown="0" headerRowDxfId="37">
  <autoFilter ref="A12:B18" xr:uid="{F575FDCD-AD4B-4BB6-90B0-5419625F13C1}"/>
  <tableColumns count="2">
    <tableColumn id="1" xr3:uid="{97DD68DF-1C1E-48E6-92CD-FA017B73D45E}" name="Year"/>
    <tableColumn id="2" xr3:uid="{396B62C9-AB56-4646-B279-CB33A505A557}" name="EBITDA %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A44E09-FB67-487A-A459-278003BC7FB6}" name="Table26" displayName="Table26" ref="A21:B24" totalsRowShown="0">
  <autoFilter ref="A21:B24" xr:uid="{0BA44E09-FB67-487A-A459-278003BC7FB6}"/>
  <tableColumns count="2">
    <tableColumn id="1" xr3:uid="{06F182FD-91A7-485A-8FA7-C128C3461BA6}" name="Capex Type"/>
    <tableColumn id="2" xr3:uid="{069070F4-8F5A-4971-BD12-C0345E7572AB}" name="% of Revenue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7AC9F2B-F13B-4371-8E32-58765B54BCE0}" name="Table27" displayName="Table27" ref="A33:B35" totalsRowShown="0">
  <autoFilter ref="A33:B35" xr:uid="{E7AC9F2B-F13B-4371-8E32-58765B54BCE0}"/>
  <tableColumns count="2">
    <tableColumn id="1" xr3:uid="{7B5C4923-EDBA-4DD2-A7CC-F81495362FE7}" name="Item"/>
    <tableColumn id="2" xr3:uid="{8E45FDF4-9B37-4BCE-8FEB-AB855E74BE2B}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1CDF88B-3164-43A3-ADE7-89F45686D098}" name="Table28" displayName="Table28" ref="A28:B30" totalsRowShown="0">
  <autoFilter ref="A28:B30" xr:uid="{61CDF88B-3164-43A3-ADE7-89F45686D098}"/>
  <tableColumns count="2">
    <tableColumn id="1" xr3:uid="{B750D828-1415-41B3-BA5C-7BD9E98B5176}" name="Metric "/>
    <tableColumn id="2" xr3:uid="{DAA00EF7-6888-4067-9962-D8C0C4FE1A78}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B3A5969-34F0-481E-8ED9-AEEA79042FF0}" name="Table29" displayName="Table29" ref="A4:E8" totalsRowShown="0">
  <autoFilter ref="A4:E8" xr:uid="{9B3A5969-34F0-481E-8ED9-AEEA79042FF0}"/>
  <tableColumns count="5">
    <tableColumn id="1" xr3:uid="{3DA5968F-7872-4A25-ACAB-863507FDD910}" name="USD (mm)"/>
    <tableColumn id="2" xr3:uid="{002F98C2-BA22-48E6-B197-ACE1A78FDE85}" name="FY–2"/>
    <tableColumn id="3" xr3:uid="{39255189-6E48-49EB-9300-C85B2795F11B}" name="FY–1"/>
    <tableColumn id="4" xr3:uid="{9DB21F79-433A-4AA2-8DB2-456BDAA7D4FE}" name="FY"/>
    <tableColumn id="5" xr3:uid="{A8D6DDB2-7207-409D-846C-4BD07DBA4B2C}" name="LT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5AFC810-BAF8-4B8F-A2DB-55F1E8B1B48D}" name="Table30" displayName="Table30" ref="A12:C15" totalsRowShown="0" headerRowDxfId="34">
  <autoFilter ref="A12:C15" xr:uid="{F5AFC810-BAF8-4B8F-A2DB-55F1E8B1B48D}"/>
  <tableColumns count="3">
    <tableColumn id="1" xr3:uid="{36D65A6D-F555-4984-9973-24AFBB431CB3}" name=" Metric USD (mm)"/>
    <tableColumn id="2" xr3:uid="{3E0C40E6-A53B-403C-995D-FCF3A7B10EC1}" name="FY" dataDxfId="33"/>
    <tableColumn id="3" xr3:uid="{68E7E995-261C-46F8-9708-F51DB48FF2CD}" name="LTM" dataDxfId="3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75990D7-74FF-4E89-8D6B-236E2FFB140A}" name="Table31" displayName="Table31" ref="A19:B23" totalsRowShown="0">
  <autoFilter ref="A19:B23" xr:uid="{B75990D7-74FF-4E89-8D6B-236E2FFB140A}"/>
  <tableColumns count="2">
    <tableColumn id="1" xr3:uid="{A50C6D76-C518-4718-B009-1ADFA9012A97}" name="Driver"/>
    <tableColumn id="2" xr3:uid="{E5117197-667A-4AEF-A055-730C138644C4}" name="Impact ($mm)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83B3EDF-A675-48F5-8BAB-3F6AC00D5586}" name="Table32" displayName="Table32" ref="A18:G20" totalsRowShown="0" headerRowDxfId="31">
  <autoFilter ref="A18:G20" xr:uid="{D83B3EDF-A675-48F5-8BAB-3F6AC00D5586}"/>
  <tableColumns count="7">
    <tableColumn id="1" xr3:uid="{546BAC23-4DC6-48D5-8487-3C46D13628FB}" name="USD (mm)"/>
    <tableColumn id="2" xr3:uid="{EF062680-4170-4F90-98DC-6B626E8D5CF2}" name="LTM"/>
    <tableColumn id="3" xr3:uid="{2A87599C-0273-4433-B200-09AF44B2167F}" name="Y1"/>
    <tableColumn id="4" xr3:uid="{1681C2E6-C887-4F28-A90D-3C91E76792AE}" name="Y2"/>
    <tableColumn id="5" xr3:uid="{2805B1FF-5EF0-4D4E-B8F8-3D8199E700C4}" name="Y3"/>
    <tableColumn id="6" xr3:uid="{25AB0F4F-9876-4D0D-8212-B85CBEC98226}" name="Y4"/>
    <tableColumn id="7" xr3:uid="{7D5C9B06-0CCA-4A78-AE5D-A274A4077DD8}" name="Y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168B133-685A-44EC-8888-9C4740F32C3A}" name="Table33" displayName="Table33" ref="A24:G27" totalsRowShown="0">
  <autoFilter ref="A24:G27" xr:uid="{0168B133-685A-44EC-8888-9C4740F32C3A}"/>
  <tableColumns count="7">
    <tableColumn id="1" xr3:uid="{79299D87-70A9-4DB5-994B-E3793A7AD325}" name="USD (mm)"/>
    <tableColumn id="2" xr3:uid="{8E594B58-7C96-43BC-9CA5-866A3C04E879}" name="LTM"/>
    <tableColumn id="3" xr3:uid="{0D58C950-B299-4052-AD17-FCA4B5A6F903}" name="Y1"/>
    <tableColumn id="4" xr3:uid="{5AE208E6-1DBF-491C-B191-020246540773}" name="Y2"/>
    <tableColumn id="5" xr3:uid="{D1AD5434-C009-4A98-A39C-34B73B847E15}" name="Y3"/>
    <tableColumn id="6" xr3:uid="{1B686142-6156-4AFE-821C-1EA2913E0AA8}" name="Y4"/>
    <tableColumn id="7" xr3:uid="{4098F5F7-84B8-4FEE-B197-1D5D19E9B911}" name="Y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FAC2A32-EFBA-4757-85F7-465F4F8C4D3A}" name="Table34" displayName="Table34" ref="A29:B32" totalsRowShown="0">
  <autoFilter ref="A29:B32" xr:uid="{CFAC2A32-EFBA-4757-85F7-465F4F8C4D3A}"/>
  <tableColumns count="2">
    <tableColumn id="1" xr3:uid="{373969E7-40B5-4B4C-AD91-FC6CAA88F690}" name="Driver"/>
    <tableColumn id="2" xr3:uid="{3F29149E-0E24-4714-8798-A36A646168C0}" name="Impac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C97FF11-7593-474A-89D5-AC1DBD033DCD}" name="Table51" displayName="Table51" ref="A3:G8" totalsRowShown="0" headerRowDxfId="30">
  <autoFilter ref="A3:G8" xr:uid="{8C97FF11-7593-474A-89D5-AC1DBD033DCD}"/>
  <tableColumns count="7">
    <tableColumn id="1" xr3:uid="{83EAD3D4-3BB1-44D6-83CB-1F39C6DC99A7}" name="KPI"/>
    <tableColumn id="2" xr3:uid="{B9D414AE-90E2-4885-9F3D-82A09079298D}" name="LTM"/>
    <tableColumn id="3" xr3:uid="{CF5C355E-6C88-475C-93A1-EB90F707136A}" name="Y1"/>
    <tableColumn id="4" xr3:uid="{A4D07E7F-5B2D-42AF-BD9D-4ADA72BB460B}" name="Y2"/>
    <tableColumn id="5" xr3:uid="{B2F980EA-076F-4F4C-B54E-7682889DDB83}" name="Y3"/>
    <tableColumn id="6" xr3:uid="{CDC8D085-7213-43C2-B618-3CF6409604EB}" name="Y4"/>
    <tableColumn id="7" xr3:uid="{60B5EA1D-A39F-43A4-BE52-AF8F58BA05CE}" name="Y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6A1E65B7-C13E-42ED-B40D-20ECACC37E9C}" name="Table52" displayName="Table52" ref="A12:B15" totalsRowShown="0">
  <autoFilter ref="A12:B15" xr:uid="{6A1E65B7-C13E-42ED-B40D-20ECACC37E9C}"/>
  <tableColumns count="2">
    <tableColumn id="1" xr3:uid="{8B9DE8DF-57B6-4D35-B39D-2E44BBD1BC1C}" name="Driver"/>
    <tableColumn id="2" xr3:uid="{FC63C554-3E76-46FF-8883-C5C73ED3CB68}" name="Contribution ($mm)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FCD464A-4D24-4171-AB7D-B0797714E903}" name="Table35" displayName="Table35" ref="A3:G9" totalsRowShown="0">
  <autoFilter ref="A3:G9" xr:uid="{EFCD464A-4D24-4171-AB7D-B0797714E903}"/>
  <tableColumns count="7">
    <tableColumn id="1" xr3:uid="{AEE17EA9-6647-4389-858F-0608D0D52691}" name="USD (mm)"/>
    <tableColumn id="2" xr3:uid="{DF9E89F8-47A3-465E-9C91-892DAC941BE5}" name="LTM"/>
    <tableColumn id="3" xr3:uid="{5C136718-C6AB-4826-BE92-BA4C7C220C96}" name="Y1"/>
    <tableColumn id="4" xr3:uid="{58C6CAF8-A33D-4240-A450-4D176B1F0A23}" name="Y2"/>
    <tableColumn id="5" xr3:uid="{79C5D85F-5EE5-46FF-8266-AB323C4EE767}" name="Y3"/>
    <tableColumn id="6" xr3:uid="{AD9B72E7-611E-4904-B32D-7C14762AEE4D}" name="Y4"/>
    <tableColumn id="7" xr3:uid="{A2500C9B-3778-48AE-9C39-1CA3D7A926F9}" name="Y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A10C235-FF8F-49E3-B8BA-4FC45EB09407}" name="Table36" displayName="Table36" ref="A13:G14" totalsRowShown="0" headerRowDxfId="29" dataDxfId="28">
  <autoFilter ref="A13:G14" xr:uid="{BA10C235-FF8F-49E3-B8BA-4FC45EB09407}"/>
  <tableColumns count="7">
    <tableColumn id="1" xr3:uid="{0B56A86A-7473-436E-B005-879996A62649}" name="USD (mm)" dataDxfId="27"/>
    <tableColumn id="2" xr3:uid="{182CE727-9FBA-4129-84E7-1AA6A1741590}" name="LTM" dataDxfId="26"/>
    <tableColumn id="3" xr3:uid="{D163423A-1D12-441A-8B3B-4664200EF736}" name="Y1" dataDxfId="25"/>
    <tableColumn id="4" xr3:uid="{E910D16B-A9A5-43FE-8E76-9F38BAAC4566}" name="Y2" dataDxfId="24"/>
    <tableColumn id="5" xr3:uid="{9FFE5EDC-136D-465C-9504-B4B3F0C53CB0}" name="Y3" dataDxfId="23"/>
    <tableColumn id="6" xr3:uid="{61F32A30-5208-46DA-A231-36F214A22011}" name="Y4" dataDxfId="22"/>
    <tableColumn id="7" xr3:uid="{F4712DE5-43BD-4925-BBE3-1F084D9E83E1}" name="Y5" dataDxfId="21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BDD2E85-A057-4167-ABBF-F0156BF7E5CB}" name="Table37" displayName="Table37" ref="A4:B9" totalsRowShown="0" headerRowDxfId="20">
  <autoFilter ref="A4:B9" xr:uid="{3BDD2E85-A057-4167-ABBF-F0156BF7E5CB}"/>
  <tableColumns count="2">
    <tableColumn id="1" xr3:uid="{B934803D-6936-4875-937C-9B2A234EFDC1}" name="USD (mm)"/>
    <tableColumn id="2" xr3:uid="{5AAE821F-B355-4E88-9929-48EC25F2AF53}" name="Amount" dataDxfId="1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A91332B-410A-4921-8409-1CDC8CBA964A}" name="Table38" displayName="Table38" ref="D4:E8" totalsRowShown="0" headerRowDxfId="18">
  <autoFilter ref="D4:E8" xr:uid="{EA91332B-410A-4921-8409-1CDC8CBA964A}"/>
  <tableColumns count="2">
    <tableColumn id="1" xr3:uid="{2B8A010B-534F-449B-8DF8-A16947297B8D}" name="USD (mm)"/>
    <tableColumn id="2" xr3:uid="{E6F41DC2-129B-4977-9F2B-34D3BF1E2DEE}" name="Amount" dataDxfId="1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F94AD49-97C0-4A44-84D4-8078D0E38E13}" name="Table39" displayName="Table39" ref="A13:B17" totalsRowShown="0">
  <autoFilter ref="A13:B17" xr:uid="{8F94AD49-97C0-4A44-84D4-8078D0E38E13}"/>
  <tableColumns count="2">
    <tableColumn id="1" xr3:uid="{683B4C3E-FC50-4B70-81B8-7E1AD0B72299}" name="Metric"/>
    <tableColumn id="2" xr3:uid="{0244BD25-8F4C-463E-976D-D40F67754B89}" name="Valu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D12D0B1-9C44-4350-8B6A-FCC99A55BCAA}" name="Table40" displayName="Table40" ref="A4:G18" totalsRowShown="0">
  <autoFilter ref="A4:G18" xr:uid="{3D12D0B1-9C44-4350-8B6A-FCC99A55BCAA}"/>
  <tableColumns count="7">
    <tableColumn id="1" xr3:uid="{352D95FA-59F1-4004-8C63-33AD94DD4891}" name="USD (mm)"/>
    <tableColumn id="2" xr3:uid="{84ABE91A-36E3-4483-B8C4-21772044371A}" name="Close"/>
    <tableColumn id="3" xr3:uid="{89B25739-6064-41A2-A547-303762DA1AA9}" name="Y1" dataDxfId="16"/>
    <tableColumn id="4" xr3:uid="{6F127ABA-5ECE-4B2F-ACCD-F795FE121BA4}" name="Y2" dataDxfId="15"/>
    <tableColumn id="5" xr3:uid="{4448FED3-1E95-48F5-86A4-4E4C2D8A393C}" name="Y3" dataDxfId="14"/>
    <tableColumn id="6" xr3:uid="{33292E9C-0E0D-418C-95B1-3AA2724BF259}" name="Y4" dataDxfId="13"/>
    <tableColumn id="7" xr3:uid="{BD25429D-0F45-4C60-A6F0-B165C4471D6E}" name="Y5" dataDxfId="1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1F5AF75-DB45-4B37-B5CD-F9B6DEBCCFCD}" name="Table41" displayName="Table41" ref="A4:B10" totalsRowShown="0" headerRowDxfId="11">
  <autoFilter ref="A4:B10" xr:uid="{81F5AF75-DB45-4B37-B5CD-F9B6DEBCCFCD}"/>
  <tableColumns count="2">
    <tableColumn id="1" xr3:uid="{A44D056A-4E73-4DD8-A114-E97F5E908C53}" name="USD (mm)"/>
    <tableColumn id="2" xr3:uid="{21C97F22-519F-484D-BE37-E0582AE9CDFE}" name="Base Case" dataDxfId="1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DC480B6-3AB2-43A9-9343-FB1D224C77DE}" name="Table42" displayName="Table42" ref="A15:C18" totalsRowShown="0" headerRowDxfId="9">
  <autoFilter ref="A15:C18" xr:uid="{6DC480B6-3AB2-43A9-9343-FB1D224C77DE}"/>
  <tableColumns count="3">
    <tableColumn id="1" xr3:uid="{B3BC9ACD-58D2-41E7-9B8F-F6E943F0925F}" name="Metric"/>
    <tableColumn id="2" xr3:uid="{D053B23D-0D0D-434B-8077-71BD8C6030AE}" name="Entry"/>
    <tableColumn id="3" xr3:uid="{80F5C1B6-A2EF-4644-A82D-32732EC6E930}" name="Exi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7AA2EC8-1072-42A3-A4F0-2C0D32004D02}" name="Table43" displayName="Table43" ref="A4:B9" totalsRowShown="0" headerRowDxfId="8">
  <autoFilter ref="A4:B9" xr:uid="{57AA2EC8-1072-42A3-A4F0-2C0D32004D02}"/>
  <tableColumns count="2">
    <tableColumn id="1" xr3:uid="{A62108A7-14CE-428D-933E-AA3FB9AAB5F2}" name="Metric"/>
    <tableColumn id="2" xr3:uid="{3CC000AE-D8F8-4CD5-887F-C1D0DDBA00E8}" name="Value" dataDxfId="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B7AF13B-343C-4629-A630-E4CE1EB45226}" name="Table44" displayName="Table44" ref="A13:B16" totalsRowShown="0">
  <autoFilter ref="A13:B16" xr:uid="{4B7AF13B-343C-4629-A630-E4CE1EB45226}"/>
  <tableColumns count="2">
    <tableColumn id="1" xr3:uid="{94956A5F-0DBA-4DB0-A65D-56D2CD119530}" name="Year"/>
    <tableColumn id="2" xr3:uid="{5D539B24-171B-4375-BC6E-FA778F910C49}" name="Cash Flow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05B4248-0BA5-4ACB-88CA-81504CB2D041}" name="Table45" displayName="Table45" ref="A5:F8" headerRowCount="0" totalsRowShown="0">
  <tableColumns count="6">
    <tableColumn id="1" xr3:uid="{61EDA451-5C06-4EDA-A140-A39DA7F40FAB}" name="Column1" dataDxfId="6"/>
    <tableColumn id="2" xr3:uid="{0C34F386-A623-4813-BB99-F3EA69AB642C}" name="Column2"/>
    <tableColumn id="3" xr3:uid="{2ACEE9DC-3B11-4ED0-8ABB-5C257755AED5}" name="Column3"/>
    <tableColumn id="4" xr3:uid="{F367D4F0-49A7-421A-8091-A4A944FA43CB}" name="Column4"/>
    <tableColumn id="5" xr3:uid="{16A6E35B-C623-41F6-9F17-D4C968D67BFA}" name="Column5"/>
    <tableColumn id="6" xr3:uid="{F2FF2D53-E8D3-4D32-B066-102B7D9126A0}" name="Column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20221E6-E403-47CD-B908-5D5C716194AC}" name="Table46" displayName="Table46" ref="A12:F13" headerRowCount="0" totalsRowShown="0">
  <tableColumns count="6">
    <tableColumn id="1" xr3:uid="{252074DE-A8B2-4FF7-B60C-480B59F8D6F7}" name="Column1"/>
    <tableColumn id="2" xr3:uid="{8FC7AB3C-2174-4C00-A9D5-CE58C86DF980}" name="Column2"/>
    <tableColumn id="3" xr3:uid="{C5E6D669-B0EF-4EF7-B411-FAD4DF1B071B}" name="Column3"/>
    <tableColumn id="4" xr3:uid="{B12D08E1-7BB6-49A0-BE1B-28BA74CDF33F}" name="Column4" dataDxfId="5"/>
    <tableColumn id="5" xr3:uid="{388919D5-75DC-4C82-9522-C5D10F431C3B}" name="Column5" headerRowDxfId="4"/>
    <tableColumn id="6" xr3:uid="{D171BCC7-9B38-4821-A5A9-AC9429B005E0}" name="Column6" headerRowDxfId="3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0650D1B-5E23-4E35-9EF7-02CBE0AA0A24}" name="Table47" displayName="Table47" ref="A17:F18" headerRowCount="0" totalsRowShown="0">
  <tableColumns count="6">
    <tableColumn id="1" xr3:uid="{6B8FB77D-723F-4E02-988A-8B0BEF72B2A0}" name="Column1"/>
    <tableColumn id="2" xr3:uid="{DBAD6CF4-5672-4880-8B53-66E3415C503A}" name="Column2"/>
    <tableColumn id="3" xr3:uid="{1FA498B4-0587-4C41-8C2C-F8C6CD9E541C}" name="Column3"/>
    <tableColumn id="4" xr3:uid="{438AF1AF-B6A5-409A-8984-C0EAB76072CB}" name="Column4" dataDxfId="2"/>
    <tableColumn id="5" xr3:uid="{A67C9D39-D466-4632-BD39-A0A1FB7CFAB2}" name="Column5"/>
    <tableColumn id="6" xr3:uid="{0BD346BE-8001-4DD5-9FCC-63D9A53AD670}" name="Column6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5A7BE48-4AA4-4DE1-BFD6-8F57DCDF8835}" name="Table48" displayName="Table48" ref="A4:C8" totalsRowShown="0">
  <autoFilter ref="A4:C8" xr:uid="{A5A7BE48-4AA4-4DE1-BFD6-8F57DCDF8835}"/>
  <tableColumns count="3">
    <tableColumn id="1" xr3:uid="{711F7FE9-5C80-4204-A675-74DFEDFA29E3}" name="Assumption"/>
    <tableColumn id="2" xr3:uid="{814B29E0-C346-468B-809E-461543B8F20E}" name="Base Case"/>
    <tableColumn id="3" xr3:uid="{8307E869-E2CD-4558-8D61-63B99986E233}" name="Downside Cas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3E9C5DD-5982-4F1B-A2E6-864DB3E43098}" name="Table49" displayName="Table49" ref="A12:C16" totalsRowShown="0">
  <autoFilter ref="A12:C16" xr:uid="{33E9C5DD-5982-4F1B-A2E6-864DB3E43098}"/>
  <tableColumns count="3">
    <tableColumn id="1" xr3:uid="{F06CD1EB-5B7A-4BBE-A0A9-ADFB27B8DF35}" name="Metric"/>
    <tableColumn id="2" xr3:uid="{6497AFA3-ED54-4C75-AFBB-2D10D9EEABC6}" name="Base Case" dataDxfId="1"/>
    <tableColumn id="3" xr3:uid="{86C6BB21-F533-4CE8-A704-D393AA384D94}" name="Downside Case" dataDxfId="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6B414345-6B8F-4697-97DE-579C4666F1CF}" name="Table50" displayName="Table50" ref="A21:C24" totalsRowShown="0">
  <autoFilter ref="A21:C24" xr:uid="{6B414345-6B8F-4697-97DE-579C4666F1CF}"/>
  <tableColumns count="3">
    <tableColumn id="1" xr3:uid="{36FE09A2-5FF6-4791-B2BE-16327739C202}" name="Metric"/>
    <tableColumn id="2" xr3:uid="{63D4FEB8-B8D4-42B0-8BC1-1E3BF402182F}" name="Base Case"/>
    <tableColumn id="3" xr3:uid="{828DD62D-8F96-4044-8BFF-E924B1EDE1CA}" name="Downside C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D90F-B82B-4F43-897B-D9721D404EF1}">
  <dimension ref="A2:B33"/>
  <sheetViews>
    <sheetView workbookViewId="0">
      <selection activeCell="D12" sqref="D12"/>
    </sheetView>
  </sheetViews>
  <sheetFormatPr baseColWidth="10" defaultColWidth="8.83203125" defaultRowHeight="16"/>
  <cols>
    <col min="1" max="1" width="29.1640625" customWidth="1"/>
    <col min="2" max="2" width="17.83203125" customWidth="1"/>
  </cols>
  <sheetData>
    <row r="2" spans="1:2">
      <c r="A2" s="21" t="s">
        <v>0</v>
      </c>
    </row>
    <row r="5" spans="1:2">
      <c r="A5" t="s">
        <v>1</v>
      </c>
      <c r="B5" t="s">
        <v>2</v>
      </c>
    </row>
    <row r="6" spans="1:2">
      <c r="A6" t="s">
        <v>3</v>
      </c>
      <c r="B6" t="s">
        <v>4</v>
      </c>
    </row>
    <row r="7" spans="1:2">
      <c r="A7" t="s">
        <v>5</v>
      </c>
      <c r="B7" t="s">
        <v>6</v>
      </c>
    </row>
    <row r="8" spans="1:2">
      <c r="A8" t="s">
        <v>7</v>
      </c>
      <c r="B8" s="4">
        <v>17600</v>
      </c>
    </row>
    <row r="9" spans="1:2">
      <c r="A9" t="s">
        <v>8</v>
      </c>
      <c r="B9" s="4">
        <v>650</v>
      </c>
    </row>
    <row r="10" spans="1:2">
      <c r="A10" t="s">
        <v>9</v>
      </c>
      <c r="B10" s="4" t="s">
        <v>10</v>
      </c>
    </row>
    <row r="11" spans="1:2">
      <c r="A11" t="s">
        <v>11</v>
      </c>
      <c r="B11" s="4">
        <v>5</v>
      </c>
    </row>
    <row r="12" spans="1:2">
      <c r="A12" t="s">
        <v>12</v>
      </c>
      <c r="B12" s="4" t="s">
        <v>13</v>
      </c>
    </row>
    <row r="13" spans="1:2">
      <c r="A13" t="s">
        <v>14</v>
      </c>
      <c r="B13" s="4">
        <v>7500</v>
      </c>
    </row>
    <row r="15" spans="1:2">
      <c r="A15" t="s">
        <v>15</v>
      </c>
    </row>
    <row r="18" spans="1:2">
      <c r="A18" s="4" t="s">
        <v>16</v>
      </c>
      <c r="B18" s="4" t="s">
        <v>17</v>
      </c>
    </row>
    <row r="19" spans="1:2">
      <c r="A19" t="s">
        <v>18</v>
      </c>
      <c r="B19" s="4">
        <v>9500</v>
      </c>
    </row>
    <row r="20" spans="1:2">
      <c r="A20" t="s">
        <v>19</v>
      </c>
      <c r="B20" s="5">
        <v>0.56000000000000005</v>
      </c>
    </row>
    <row r="21" spans="1:2">
      <c r="A21" t="s">
        <v>20</v>
      </c>
      <c r="B21" s="4" t="s">
        <v>21</v>
      </c>
    </row>
    <row r="22" spans="1:2">
      <c r="A22" t="s">
        <v>22</v>
      </c>
      <c r="B22" s="5">
        <v>0.44</v>
      </c>
    </row>
    <row r="23" spans="1:2">
      <c r="B23" s="5"/>
    </row>
    <row r="24" spans="1:2">
      <c r="A24" t="s">
        <v>23</v>
      </c>
    </row>
    <row r="27" spans="1:2">
      <c r="A27" s="4" t="s">
        <v>16</v>
      </c>
      <c r="B27" s="4" t="s">
        <v>17</v>
      </c>
    </row>
    <row r="28" spans="1:2">
      <c r="A28" t="s">
        <v>24</v>
      </c>
      <c r="B28" s="4">
        <v>19500</v>
      </c>
    </row>
    <row r="29" spans="1:2">
      <c r="A29" t="s">
        <v>25</v>
      </c>
      <c r="B29" s="4">
        <v>18500</v>
      </c>
    </row>
    <row r="30" spans="1:2">
      <c r="A30" t="s">
        <v>26</v>
      </c>
      <c r="B30" s="4" t="s">
        <v>27</v>
      </c>
    </row>
    <row r="31" spans="1:2">
      <c r="A31" t="s">
        <v>28</v>
      </c>
      <c r="B31" s="4" t="s">
        <v>29</v>
      </c>
    </row>
    <row r="32" spans="1:2">
      <c r="B32" s="4"/>
    </row>
    <row r="33" spans="1:1">
      <c r="A33" s="4" t="s">
        <v>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6913-D99D-4B38-B9DA-E08EC9DC661E}">
  <dimension ref="A2:B37"/>
  <sheetViews>
    <sheetView topLeftCell="A9" workbookViewId="0">
      <selection activeCell="D9" sqref="D9"/>
    </sheetView>
  </sheetViews>
  <sheetFormatPr baseColWidth="10" defaultColWidth="8.83203125" defaultRowHeight="16"/>
  <cols>
    <col min="1" max="1" width="25.83203125" customWidth="1"/>
    <col min="2" max="2" width="16.33203125" customWidth="1"/>
  </cols>
  <sheetData>
    <row r="2" spans="1:2">
      <c r="A2" s="3" t="s">
        <v>31</v>
      </c>
    </row>
    <row r="3" spans="1:2">
      <c r="A3" s="4" t="s">
        <v>32</v>
      </c>
      <c r="B3" s="4" t="s">
        <v>33</v>
      </c>
    </row>
    <row r="4" spans="1:2">
      <c r="A4" t="s">
        <v>34</v>
      </c>
      <c r="B4" s="1">
        <v>0.06</v>
      </c>
    </row>
    <row r="5" spans="1:2">
      <c r="A5" t="s">
        <v>35</v>
      </c>
      <c r="B5" s="1">
        <v>7.0000000000000007E-2</v>
      </c>
    </row>
    <row r="6" spans="1:2">
      <c r="A6" t="s">
        <v>36</v>
      </c>
      <c r="B6" s="1">
        <v>7.4999999999999997E-2</v>
      </c>
    </row>
    <row r="7" spans="1:2">
      <c r="A7" t="s">
        <v>37</v>
      </c>
      <c r="B7" s="1">
        <v>6.5000000000000002E-2</v>
      </c>
    </row>
    <row r="8" spans="1:2">
      <c r="A8" t="s">
        <v>38</v>
      </c>
      <c r="B8" s="1">
        <v>5.5E-2</v>
      </c>
    </row>
    <row r="10" spans="1:2">
      <c r="A10" s="3" t="s">
        <v>39</v>
      </c>
    </row>
    <row r="12" spans="1:2">
      <c r="A12" s="4" t="s">
        <v>32</v>
      </c>
      <c r="B12" s="4" t="s">
        <v>40</v>
      </c>
    </row>
    <row r="13" spans="1:2">
      <c r="A13" t="s">
        <v>41</v>
      </c>
      <c r="B13" s="1">
        <v>0.39</v>
      </c>
    </row>
    <row r="14" spans="1:2">
      <c r="A14" t="s">
        <v>34</v>
      </c>
      <c r="B14" s="1">
        <v>0.4</v>
      </c>
    </row>
    <row r="15" spans="1:2">
      <c r="A15" t="s">
        <v>35</v>
      </c>
      <c r="B15" s="1">
        <v>0.41499999999999998</v>
      </c>
    </row>
    <row r="16" spans="1:2">
      <c r="A16" t="s">
        <v>36</v>
      </c>
      <c r="B16" s="1">
        <v>0.43</v>
      </c>
    </row>
    <row r="17" spans="1:2">
      <c r="A17" t="s">
        <v>37</v>
      </c>
      <c r="B17" s="1">
        <v>0.44</v>
      </c>
    </row>
    <row r="18" spans="1:2">
      <c r="A18" t="s">
        <v>38</v>
      </c>
      <c r="B18" s="1">
        <v>0.45</v>
      </c>
    </row>
    <row r="19" spans="1:2">
      <c r="A19" s="3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s="1">
        <v>0.02</v>
      </c>
    </row>
    <row r="23" spans="1:2">
      <c r="A23" t="s">
        <v>46</v>
      </c>
      <c r="B23" s="1">
        <v>0.01</v>
      </c>
    </row>
    <row r="24" spans="1:2">
      <c r="A24" t="s">
        <v>47</v>
      </c>
      <c r="B24" s="8">
        <v>0.03</v>
      </c>
    </row>
    <row r="26" spans="1:2">
      <c r="A26" s="3" t="s">
        <v>48</v>
      </c>
    </row>
    <row r="28" spans="1:2">
      <c r="A28" t="s">
        <v>49</v>
      </c>
      <c r="B28" t="s">
        <v>17</v>
      </c>
    </row>
    <row r="29" spans="1:2">
      <c r="A29" t="s">
        <v>50</v>
      </c>
      <c r="B29" s="1">
        <v>1.4999999999999999E-2</v>
      </c>
    </row>
    <row r="30" spans="1:2">
      <c r="A30" t="s">
        <v>51</v>
      </c>
      <c r="B30" s="4" t="s">
        <v>52</v>
      </c>
    </row>
    <row r="32" spans="1:2">
      <c r="A32" s="3" t="s">
        <v>53</v>
      </c>
    </row>
    <row r="33" spans="1:2">
      <c r="A33" t="s">
        <v>54</v>
      </c>
      <c r="B33" t="s">
        <v>17</v>
      </c>
    </row>
    <row r="34" spans="1:2">
      <c r="A34" t="s">
        <v>55</v>
      </c>
      <c r="B34" s="2">
        <v>0.25</v>
      </c>
    </row>
    <row r="35" spans="1:2">
      <c r="A35" t="s">
        <v>56</v>
      </c>
      <c r="B35" t="s">
        <v>35</v>
      </c>
    </row>
    <row r="37" spans="1:2">
      <c r="A37" s="3" t="s">
        <v>57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6E5E-B4E2-48C5-9810-A942D0549F3D}">
  <dimension ref="A2:E23"/>
  <sheetViews>
    <sheetView workbookViewId="0">
      <selection activeCell="D24" sqref="D24"/>
    </sheetView>
  </sheetViews>
  <sheetFormatPr baseColWidth="10" defaultColWidth="8.83203125" defaultRowHeight="16"/>
  <cols>
    <col min="1" max="1" width="26.1640625" customWidth="1"/>
    <col min="2" max="2" width="16.5" customWidth="1"/>
    <col min="3" max="3" width="18.1640625" customWidth="1"/>
    <col min="4" max="4" width="19.33203125" customWidth="1"/>
    <col min="5" max="5" width="20.83203125" customWidth="1"/>
  </cols>
  <sheetData>
    <row r="2" spans="1:5">
      <c r="A2" s="21" t="s">
        <v>58</v>
      </c>
    </row>
    <row r="4" spans="1:5">
      <c r="A4" t="s">
        <v>59</v>
      </c>
      <c r="B4" t="s">
        <v>60</v>
      </c>
      <c r="C4" t="s">
        <v>61</v>
      </c>
      <c r="D4" t="s">
        <v>62</v>
      </c>
      <c r="E4" t="s">
        <v>41</v>
      </c>
    </row>
    <row r="5" spans="1:5">
      <c r="A5" t="s">
        <v>63</v>
      </c>
      <c r="B5" s="12">
        <v>1520</v>
      </c>
      <c r="C5" s="12">
        <v>1620</v>
      </c>
      <c r="D5" s="12">
        <v>1750</v>
      </c>
      <c r="E5" s="12">
        <v>1820</v>
      </c>
    </row>
    <row r="6" spans="1:5">
      <c r="A6" t="s">
        <v>64</v>
      </c>
      <c r="B6" t="s">
        <v>65</v>
      </c>
      <c r="C6" s="1">
        <v>6.6000000000000003E-2</v>
      </c>
      <c r="D6" s="1">
        <v>0.08</v>
      </c>
      <c r="E6" s="1">
        <v>0.04</v>
      </c>
    </row>
    <row r="7" spans="1:5">
      <c r="A7" t="s">
        <v>66</v>
      </c>
      <c r="B7" s="11">
        <v>560</v>
      </c>
      <c r="C7" s="11">
        <v>600</v>
      </c>
      <c r="D7" s="11">
        <v>650</v>
      </c>
      <c r="E7" s="11">
        <v>710</v>
      </c>
    </row>
    <row r="8" spans="1:5">
      <c r="A8" t="s">
        <v>67</v>
      </c>
      <c r="B8" s="1">
        <v>0.36799999999999999</v>
      </c>
      <c r="C8" s="1">
        <v>0.37</v>
      </c>
      <c r="D8" s="1">
        <v>0.371</v>
      </c>
      <c r="E8" s="1">
        <v>0.39</v>
      </c>
    </row>
    <row r="10" spans="1:5">
      <c r="A10" t="s">
        <v>68</v>
      </c>
    </row>
    <row r="12" spans="1:5">
      <c r="A12" s="4" t="s">
        <v>69</v>
      </c>
      <c r="B12" s="4" t="s">
        <v>62</v>
      </c>
      <c r="C12" s="4" t="s">
        <v>41</v>
      </c>
    </row>
    <row r="13" spans="1:5">
      <c r="A13" t="s">
        <v>70</v>
      </c>
      <c r="B13">
        <v>-55</v>
      </c>
      <c r="C13">
        <v>-60</v>
      </c>
    </row>
    <row r="14" spans="1:5">
      <c r="A14" t="s">
        <v>71</v>
      </c>
      <c r="B14" s="1">
        <v>3.1E-2</v>
      </c>
      <c r="C14" s="1">
        <v>3.3000000000000002E-2</v>
      </c>
    </row>
    <row r="15" spans="1:5">
      <c r="A15" t="s">
        <v>72</v>
      </c>
      <c r="B15" s="13">
        <v>-40</v>
      </c>
      <c r="C15" s="13">
        <v>-45</v>
      </c>
    </row>
    <row r="17" spans="1:2">
      <c r="A17" t="s">
        <v>73</v>
      </c>
    </row>
    <row r="19" spans="1:2">
      <c r="A19" t="s">
        <v>74</v>
      </c>
      <c r="B19" t="s">
        <v>75</v>
      </c>
    </row>
    <row r="20" spans="1:2">
      <c r="A20" t="s">
        <v>76</v>
      </c>
      <c r="B20">
        <v>90</v>
      </c>
    </row>
    <row r="21" spans="1:2">
      <c r="A21" t="s">
        <v>77</v>
      </c>
      <c r="B21">
        <v>60</v>
      </c>
    </row>
    <row r="22" spans="1:2">
      <c r="A22" t="s">
        <v>78</v>
      </c>
      <c r="B22">
        <v>0</v>
      </c>
    </row>
    <row r="23" spans="1:2">
      <c r="A23" t="s">
        <v>79</v>
      </c>
      <c r="B23">
        <v>150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8A4B-0DF7-4C39-AAD9-CB3A6FEE0C5E}">
  <dimension ref="A2:G36"/>
  <sheetViews>
    <sheetView workbookViewId="0">
      <selection activeCell="H27" sqref="H27"/>
    </sheetView>
  </sheetViews>
  <sheetFormatPr baseColWidth="10" defaultColWidth="8.83203125" defaultRowHeight="16"/>
  <cols>
    <col min="1" max="1" width="21.33203125" customWidth="1"/>
    <col min="2" max="2" width="19.83203125" customWidth="1"/>
    <col min="3" max="3" width="15.1640625" customWidth="1"/>
    <col min="4" max="4" width="17.6640625" customWidth="1"/>
    <col min="5" max="5" width="14.83203125" customWidth="1"/>
    <col min="6" max="6" width="15.33203125" customWidth="1"/>
    <col min="7" max="7" width="16.83203125" customWidth="1"/>
  </cols>
  <sheetData>
    <row r="2" spans="1:7">
      <c r="A2" s="3" t="s">
        <v>80</v>
      </c>
    </row>
    <row r="3" spans="1:7">
      <c r="A3" s="4" t="s">
        <v>81</v>
      </c>
      <c r="B3" s="4" t="s">
        <v>41</v>
      </c>
      <c r="C3" s="4" t="s">
        <v>82</v>
      </c>
      <c r="D3" s="4" t="s">
        <v>83</v>
      </c>
      <c r="E3" s="4" t="s">
        <v>84</v>
      </c>
      <c r="F3" s="4" t="s">
        <v>85</v>
      </c>
      <c r="G3" s="4" t="s">
        <v>86</v>
      </c>
    </row>
    <row r="4" spans="1:7">
      <c r="A4" t="s">
        <v>87</v>
      </c>
      <c r="B4" s="10">
        <v>160000</v>
      </c>
      <c r="C4" s="10">
        <v>165000</v>
      </c>
      <c r="D4" s="10">
        <v>171000</v>
      </c>
      <c r="E4" s="10">
        <v>178000</v>
      </c>
      <c r="F4" s="10">
        <v>185000</v>
      </c>
      <c r="G4" s="10">
        <v>191000</v>
      </c>
    </row>
    <row r="5" spans="1:7">
      <c r="A5" t="s">
        <v>88</v>
      </c>
      <c r="B5" t="s">
        <v>65</v>
      </c>
      <c r="C5" s="1">
        <v>3.1E-2</v>
      </c>
      <c r="D5" s="1">
        <v>3.5999999999999997E-2</v>
      </c>
      <c r="E5" s="1">
        <v>4.1000000000000002E-2</v>
      </c>
      <c r="F5" s="1">
        <v>3.9E-2</v>
      </c>
      <c r="G5" s="1">
        <v>3.2000000000000001E-2</v>
      </c>
    </row>
    <row r="6" spans="1:7">
      <c r="A6" t="s">
        <v>89</v>
      </c>
      <c r="B6" s="10">
        <v>11375</v>
      </c>
      <c r="C6" s="10">
        <v>11690</v>
      </c>
      <c r="D6" s="10">
        <v>12070</v>
      </c>
      <c r="E6" s="10">
        <v>12470</v>
      </c>
      <c r="F6" s="10">
        <v>12770</v>
      </c>
      <c r="G6" s="10">
        <v>13050</v>
      </c>
    </row>
    <row r="7" spans="1:7">
      <c r="A7" t="s">
        <v>90</v>
      </c>
      <c r="B7" t="s">
        <v>65</v>
      </c>
      <c r="C7" s="1">
        <v>2.8000000000000001E-2</v>
      </c>
      <c r="D7" s="1">
        <v>3.3000000000000002E-2</v>
      </c>
      <c r="E7" s="1">
        <v>3.3000000000000002E-2</v>
      </c>
      <c r="F7" s="1">
        <v>2.4E-2</v>
      </c>
      <c r="G7" s="1">
        <v>2.1999999999999999E-2</v>
      </c>
    </row>
    <row r="8" spans="1:7">
      <c r="A8" s="4" t="s">
        <v>91</v>
      </c>
      <c r="B8" s="9">
        <v>1820</v>
      </c>
      <c r="C8" s="9">
        <v>1929</v>
      </c>
      <c r="D8" s="9">
        <v>2064</v>
      </c>
      <c r="E8" s="9">
        <v>2219</v>
      </c>
      <c r="F8" s="9">
        <v>2363</v>
      </c>
    </row>
    <row r="10" spans="1:7">
      <c r="A10" s="3" t="s">
        <v>92</v>
      </c>
    </row>
    <row r="12" spans="1:7">
      <c r="A12" t="s">
        <v>74</v>
      </c>
      <c r="B12" t="s">
        <v>93</v>
      </c>
    </row>
    <row r="13" spans="1:7">
      <c r="A13" t="s">
        <v>94</v>
      </c>
      <c r="B13">
        <v>300</v>
      </c>
    </row>
    <row r="14" spans="1:7">
      <c r="A14" t="s">
        <v>95</v>
      </c>
      <c r="B14">
        <v>373</v>
      </c>
    </row>
    <row r="15" spans="1:7">
      <c r="A15" t="s">
        <v>96</v>
      </c>
      <c r="B15">
        <v>673</v>
      </c>
    </row>
    <row r="17" spans="1:7">
      <c r="A17" s="3" t="s">
        <v>97</v>
      </c>
    </row>
    <row r="18" spans="1:7">
      <c r="A18" s="4" t="s">
        <v>59</v>
      </c>
      <c r="B18" s="4" t="s">
        <v>41</v>
      </c>
      <c r="C18" s="4" t="s">
        <v>82</v>
      </c>
      <c r="D18" s="4" t="s">
        <v>83</v>
      </c>
      <c r="E18" s="4" t="s">
        <v>84</v>
      </c>
      <c r="F18" s="4" t="s">
        <v>85</v>
      </c>
      <c r="G18" s="4" t="s">
        <v>86</v>
      </c>
    </row>
    <row r="19" spans="1:7">
      <c r="A19" t="s">
        <v>63</v>
      </c>
      <c r="B19" s="14">
        <v>1820</v>
      </c>
      <c r="C19" s="14">
        <v>1929</v>
      </c>
      <c r="D19" s="14">
        <v>2064</v>
      </c>
      <c r="E19" s="14">
        <v>2219</v>
      </c>
      <c r="F19" s="14">
        <v>2363</v>
      </c>
      <c r="G19" s="14">
        <v>2493</v>
      </c>
    </row>
    <row r="20" spans="1:7">
      <c r="A20" t="s">
        <v>33</v>
      </c>
      <c r="B20" t="s">
        <v>65</v>
      </c>
      <c r="C20" s="7">
        <v>0.06</v>
      </c>
      <c r="D20" s="7">
        <v>7.0000000000000007E-2</v>
      </c>
      <c r="E20" s="7">
        <v>7.4999999999999997E-2</v>
      </c>
      <c r="F20" s="7">
        <v>6.5000000000000002E-2</v>
      </c>
      <c r="G20" s="7">
        <v>5.5E-2</v>
      </c>
    </row>
    <row r="22" spans="1:7">
      <c r="A22" s="3" t="s">
        <v>98</v>
      </c>
    </row>
    <row r="24" spans="1:7">
      <c r="A24" t="s">
        <v>59</v>
      </c>
      <c r="B24" t="s">
        <v>41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</row>
    <row r="25" spans="1:7">
      <c r="A25" t="s">
        <v>63</v>
      </c>
      <c r="B25" s="10">
        <v>1820</v>
      </c>
      <c r="C25" s="10">
        <v>1929</v>
      </c>
      <c r="D25" s="10">
        <v>2064</v>
      </c>
      <c r="E25" s="10">
        <v>2219</v>
      </c>
      <c r="F25" s="10">
        <v>2363</v>
      </c>
      <c r="G25" s="10">
        <v>2493</v>
      </c>
    </row>
    <row r="26" spans="1:7">
      <c r="A26" t="s">
        <v>99</v>
      </c>
      <c r="B26" s="1">
        <v>0.39</v>
      </c>
      <c r="C26" s="1">
        <v>0.4</v>
      </c>
      <c r="D26" s="1">
        <v>0.41499999999999998</v>
      </c>
      <c r="E26" s="1">
        <v>0.43</v>
      </c>
      <c r="F26" s="1">
        <v>0.44</v>
      </c>
      <c r="G26" s="1">
        <v>0.45</v>
      </c>
    </row>
    <row r="27" spans="1:7">
      <c r="A27" t="s">
        <v>66</v>
      </c>
      <c r="B27" s="15">
        <v>710</v>
      </c>
      <c r="C27" s="15">
        <v>772</v>
      </c>
      <c r="D27" s="15">
        <v>857</v>
      </c>
      <c r="E27" s="15">
        <v>954</v>
      </c>
      <c r="F27" s="14">
        <v>1040</v>
      </c>
      <c r="G27" s="14">
        <v>1122</v>
      </c>
    </row>
    <row r="29" spans="1:7">
      <c r="A29" t="s">
        <v>74</v>
      </c>
      <c r="B29" t="s">
        <v>100</v>
      </c>
    </row>
    <row r="30" spans="1:7">
      <c r="A30" t="s">
        <v>76</v>
      </c>
      <c r="B30">
        <v>205</v>
      </c>
    </row>
    <row r="31" spans="1:7">
      <c r="A31" t="s">
        <v>101</v>
      </c>
      <c r="B31">
        <v>207</v>
      </c>
    </row>
    <row r="32" spans="1:7">
      <c r="A32" t="s">
        <v>102</v>
      </c>
      <c r="B32">
        <f>B31+B30</f>
        <v>412</v>
      </c>
    </row>
    <row r="34" spans="1:1">
      <c r="A34" s="3" t="s">
        <v>103</v>
      </c>
    </row>
    <row r="36" spans="1:1">
      <c r="A36" s="3" t="s">
        <v>104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557-7221-4536-9F39-3A8925A3040B}">
  <dimension ref="A2:G14"/>
  <sheetViews>
    <sheetView workbookViewId="0">
      <selection activeCell="F17" sqref="F17"/>
    </sheetView>
  </sheetViews>
  <sheetFormatPr baseColWidth="10" defaultColWidth="8.83203125" defaultRowHeight="16"/>
  <cols>
    <col min="1" max="1" width="27.1640625" customWidth="1"/>
    <col min="2" max="2" width="14.33203125" customWidth="1"/>
    <col min="3" max="3" width="14.1640625" customWidth="1"/>
    <col min="4" max="4" width="13.6640625" customWidth="1"/>
    <col min="5" max="5" width="15.1640625" customWidth="1"/>
    <col min="6" max="6" width="17.1640625" customWidth="1"/>
    <col min="7" max="7" width="17.83203125" customWidth="1"/>
  </cols>
  <sheetData>
    <row r="2" spans="1:7">
      <c r="A2" s="3" t="s">
        <v>105</v>
      </c>
    </row>
    <row r="3" spans="1:7">
      <c r="A3" t="s">
        <v>59</v>
      </c>
      <c r="B3" t="s">
        <v>41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</row>
    <row r="4" spans="1:7">
      <c r="A4" t="s">
        <v>66</v>
      </c>
      <c r="B4">
        <v>710</v>
      </c>
      <c r="C4">
        <v>772</v>
      </c>
      <c r="D4">
        <v>857</v>
      </c>
      <c r="E4">
        <v>954</v>
      </c>
      <c r="F4" s="10">
        <v>1040</v>
      </c>
      <c r="G4" s="10">
        <v>1122</v>
      </c>
    </row>
    <row r="5" spans="1:7">
      <c r="A5" t="s">
        <v>72</v>
      </c>
      <c r="B5">
        <v>-45</v>
      </c>
      <c r="C5">
        <v>0</v>
      </c>
      <c r="D5">
        <v>-70</v>
      </c>
      <c r="E5">
        <v>-95</v>
      </c>
      <c r="F5">
        <v>-115</v>
      </c>
      <c r="G5">
        <v>-140</v>
      </c>
    </row>
    <row r="6" spans="1:7">
      <c r="A6" t="s">
        <v>45</v>
      </c>
      <c r="B6">
        <v>-36</v>
      </c>
      <c r="C6">
        <v>-39</v>
      </c>
      <c r="D6">
        <v>-41</v>
      </c>
      <c r="E6">
        <v>-44</v>
      </c>
      <c r="F6">
        <v>-47</v>
      </c>
      <c r="G6">
        <v>-50</v>
      </c>
    </row>
    <row r="7" spans="1:7">
      <c r="A7" t="s">
        <v>46</v>
      </c>
      <c r="B7">
        <v>-18</v>
      </c>
      <c r="C7">
        <v>-19</v>
      </c>
      <c r="D7">
        <v>-21</v>
      </c>
      <c r="E7">
        <v>-22</v>
      </c>
      <c r="F7">
        <v>-24</v>
      </c>
      <c r="G7">
        <v>-25</v>
      </c>
    </row>
    <row r="8" spans="1:7">
      <c r="A8" t="s">
        <v>106</v>
      </c>
      <c r="B8">
        <v>-5</v>
      </c>
      <c r="C8">
        <v>-3</v>
      </c>
      <c r="D8">
        <v>-4</v>
      </c>
      <c r="E8">
        <v>-5</v>
      </c>
      <c r="F8">
        <v>-6</v>
      </c>
      <c r="G8">
        <v>-6</v>
      </c>
    </row>
    <row r="9" spans="1:7">
      <c r="A9" t="s">
        <v>107</v>
      </c>
      <c r="B9" s="15">
        <f>SUM(B4:B8)</f>
        <v>606</v>
      </c>
      <c r="C9" s="15">
        <f t="shared" ref="C9:G9" si="0">SUM(C4:C8)</f>
        <v>711</v>
      </c>
      <c r="D9" s="15">
        <f t="shared" si="0"/>
        <v>721</v>
      </c>
      <c r="E9" s="15">
        <f t="shared" si="0"/>
        <v>788</v>
      </c>
      <c r="F9" s="15">
        <f t="shared" si="0"/>
        <v>848</v>
      </c>
      <c r="G9" s="15">
        <f t="shared" si="0"/>
        <v>901</v>
      </c>
    </row>
    <row r="11" spans="1:7">
      <c r="A11" s="3" t="s">
        <v>108</v>
      </c>
    </row>
    <row r="13" spans="1:7">
      <c r="A13" s="4" t="s">
        <v>59</v>
      </c>
      <c r="B13" s="4" t="s">
        <v>41</v>
      </c>
      <c r="C13" s="4" t="s">
        <v>82</v>
      </c>
      <c r="D13" s="4" t="s">
        <v>83</v>
      </c>
      <c r="E13" s="4" t="s">
        <v>84</v>
      </c>
      <c r="F13" s="4" t="s">
        <v>85</v>
      </c>
      <c r="G13" s="4" t="s">
        <v>86</v>
      </c>
    </row>
    <row r="14" spans="1:7">
      <c r="A14" s="4" t="s">
        <v>109</v>
      </c>
      <c r="B14" s="4">
        <v>606</v>
      </c>
      <c r="C14" s="4">
        <v>712</v>
      </c>
      <c r="D14" s="4">
        <v>700</v>
      </c>
      <c r="E14" s="4">
        <v>788</v>
      </c>
      <c r="F14" s="4">
        <v>848</v>
      </c>
      <c r="G14" s="4">
        <v>901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C29F-77D6-4E4E-AD6D-92F85D90B72C}">
  <dimension ref="A1:E17"/>
  <sheetViews>
    <sheetView workbookViewId="0"/>
  </sheetViews>
  <sheetFormatPr baseColWidth="10" defaultColWidth="8.83203125" defaultRowHeight="16"/>
  <cols>
    <col min="1" max="1" width="31.33203125" customWidth="1"/>
    <col min="2" max="2" width="16.83203125" customWidth="1"/>
    <col min="4" max="4" width="30.6640625" customWidth="1"/>
    <col min="5" max="5" width="14.5" customWidth="1"/>
  </cols>
  <sheetData>
    <row r="1" spans="1:5">
      <c r="A1" s="21" t="s">
        <v>110</v>
      </c>
    </row>
    <row r="3" spans="1:5">
      <c r="A3" s="3" t="s">
        <v>111</v>
      </c>
      <c r="D3" s="4" t="s">
        <v>112</v>
      </c>
    </row>
    <row r="4" spans="1:5">
      <c r="A4" s="4" t="s">
        <v>59</v>
      </c>
      <c r="B4" s="4" t="s">
        <v>113</v>
      </c>
      <c r="D4" s="4" t="s">
        <v>59</v>
      </c>
      <c r="E4" s="4" t="s">
        <v>113</v>
      </c>
    </row>
    <row r="5" spans="1:5">
      <c r="A5" t="s">
        <v>114</v>
      </c>
      <c r="B5" s="17">
        <v>16400</v>
      </c>
      <c r="D5" t="s">
        <v>115</v>
      </c>
      <c r="E5" s="17">
        <v>6000</v>
      </c>
    </row>
    <row r="6" spans="1:5">
      <c r="A6" t="s">
        <v>116</v>
      </c>
      <c r="B6" s="17">
        <v>0</v>
      </c>
      <c r="D6" t="s">
        <v>117</v>
      </c>
      <c r="E6" s="17">
        <v>3500</v>
      </c>
    </row>
    <row r="7" spans="1:5">
      <c r="A7" t="s">
        <v>118</v>
      </c>
      <c r="B7" s="17">
        <v>600</v>
      </c>
      <c r="D7" t="s">
        <v>119</v>
      </c>
      <c r="E7" s="17">
        <v>7500</v>
      </c>
    </row>
    <row r="8" spans="1:5">
      <c r="A8" t="s">
        <v>120</v>
      </c>
      <c r="B8" s="17">
        <v>0</v>
      </c>
      <c r="D8" s="4" t="s">
        <v>121</v>
      </c>
      <c r="E8" s="16">
        <v>17000</v>
      </c>
    </row>
    <row r="9" spans="1:5">
      <c r="A9" s="4" t="s">
        <v>122</v>
      </c>
      <c r="B9" s="16">
        <v>17000</v>
      </c>
    </row>
    <row r="12" spans="1:5">
      <c r="A12" s="3" t="s">
        <v>123</v>
      </c>
    </row>
    <row r="13" spans="1:5">
      <c r="A13" t="s">
        <v>16</v>
      </c>
      <c r="B13" t="s">
        <v>17</v>
      </c>
    </row>
    <row r="14" spans="1:5">
      <c r="A14" t="s">
        <v>18</v>
      </c>
      <c r="B14" s="17">
        <v>9500</v>
      </c>
    </row>
    <row r="15" spans="1:5">
      <c r="A15" t="s">
        <v>124</v>
      </c>
      <c r="B15" s="17">
        <v>7500</v>
      </c>
    </row>
    <row r="16" spans="1:5">
      <c r="A16" t="s">
        <v>19</v>
      </c>
      <c r="B16" s="18">
        <v>0.56000000000000005</v>
      </c>
    </row>
    <row r="17" spans="1:2">
      <c r="A17" t="s">
        <v>125</v>
      </c>
      <c r="B17" s="18">
        <v>0.44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C4E0-51BA-4607-9851-9B8B5CE5BD38}">
  <dimension ref="A2:G20"/>
  <sheetViews>
    <sheetView workbookViewId="0">
      <selection activeCell="A2" sqref="A2"/>
    </sheetView>
  </sheetViews>
  <sheetFormatPr baseColWidth="10" defaultColWidth="8.83203125" defaultRowHeight="16"/>
  <cols>
    <col min="1" max="1" width="26.5" customWidth="1"/>
    <col min="2" max="2" width="24" customWidth="1"/>
    <col min="3" max="3" width="12.83203125" customWidth="1"/>
    <col min="4" max="5" width="15.5" customWidth="1"/>
    <col min="6" max="6" width="15.33203125" customWidth="1"/>
    <col min="7" max="7" width="16.5" customWidth="1"/>
  </cols>
  <sheetData>
    <row r="2" spans="1:7">
      <c r="A2" s="21" t="s">
        <v>126</v>
      </c>
    </row>
    <row r="4" spans="1:7">
      <c r="A4" t="s">
        <v>59</v>
      </c>
      <c r="B4" t="s">
        <v>127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</row>
    <row r="5" spans="1:7">
      <c r="A5" t="s">
        <v>128</v>
      </c>
      <c r="B5" s="10">
        <v>6000</v>
      </c>
      <c r="C5" s="10">
        <v>6000</v>
      </c>
      <c r="D5" s="10">
        <v>5288</v>
      </c>
      <c r="E5" s="10">
        <v>4588</v>
      </c>
      <c r="F5" s="10">
        <v>3800</v>
      </c>
      <c r="G5" s="10">
        <v>2952</v>
      </c>
    </row>
    <row r="6" spans="1:7">
      <c r="A6" t="s">
        <v>129</v>
      </c>
      <c r="B6" s="10">
        <v>3500</v>
      </c>
      <c r="C6" s="10">
        <v>3500</v>
      </c>
      <c r="D6" s="10">
        <v>3500</v>
      </c>
      <c r="E6" s="10">
        <v>3500</v>
      </c>
      <c r="F6" s="10">
        <v>3500</v>
      </c>
      <c r="G6" s="10">
        <v>3500</v>
      </c>
    </row>
    <row r="7" spans="1:7">
      <c r="A7" t="s">
        <v>130</v>
      </c>
      <c r="B7" s="14">
        <v>9500</v>
      </c>
      <c r="C7" s="14">
        <v>9500</v>
      </c>
      <c r="D7" s="14">
        <v>8788</v>
      </c>
      <c r="E7" s="14">
        <v>8088</v>
      </c>
      <c r="F7" s="14">
        <v>7300</v>
      </c>
      <c r="G7" s="14">
        <v>6452</v>
      </c>
    </row>
    <row r="9" spans="1:7">
      <c r="A9" t="s">
        <v>109</v>
      </c>
      <c r="B9" t="s">
        <v>65</v>
      </c>
      <c r="C9" cm="1">
        <f t="array" ref="C9">Table36[Y1]</f>
        <v>712</v>
      </c>
      <c r="D9" cm="1">
        <f t="array" ref="D9">Table36[Y2]</f>
        <v>700</v>
      </c>
      <c r="E9" cm="1">
        <f t="array" ref="E9">Table36[Y3]</f>
        <v>788</v>
      </c>
      <c r="F9" cm="1">
        <f t="array" ref="F9">Table36[Y4]</f>
        <v>848</v>
      </c>
      <c r="G9" cm="1">
        <f t="array" ref="G9">Table36[Y5]</f>
        <v>901</v>
      </c>
    </row>
    <row r="10" spans="1:7">
      <c r="A10" t="s">
        <v>131</v>
      </c>
      <c r="B10" t="s">
        <v>65</v>
      </c>
      <c r="C10">
        <f>100</f>
        <v>100</v>
      </c>
      <c r="D10">
        <f>100</f>
        <v>100</v>
      </c>
      <c r="E10">
        <f>100</f>
        <v>100</v>
      </c>
      <c r="F10">
        <f>100</f>
        <v>100</v>
      </c>
      <c r="G10">
        <f>100</f>
        <v>100</v>
      </c>
    </row>
    <row r="11" spans="1:7">
      <c r="A11" t="s">
        <v>132</v>
      </c>
      <c r="B11" t="s">
        <v>65</v>
      </c>
      <c r="C11" s="15">
        <f>C9-C10</f>
        <v>612</v>
      </c>
      <c r="D11" s="15">
        <f t="shared" ref="D11:G11" si="0">D9-D10</f>
        <v>600</v>
      </c>
      <c r="E11" s="15">
        <f t="shared" si="0"/>
        <v>688</v>
      </c>
      <c r="F11" s="15">
        <f t="shared" si="0"/>
        <v>748</v>
      </c>
      <c r="G11" s="15">
        <f t="shared" si="0"/>
        <v>801</v>
      </c>
    </row>
    <row r="12" spans="1:7">
      <c r="A12" t="s">
        <v>133</v>
      </c>
      <c r="B12" t="s">
        <v>65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134</v>
      </c>
      <c r="B14" t="s">
        <v>65</v>
      </c>
      <c r="C14" s="15">
        <f>C9</f>
        <v>712</v>
      </c>
      <c r="D14" s="15">
        <f t="shared" ref="D14:G14" si="1">D9</f>
        <v>700</v>
      </c>
      <c r="E14" s="15">
        <f t="shared" si="1"/>
        <v>788</v>
      </c>
      <c r="F14" s="15">
        <f t="shared" si="1"/>
        <v>848</v>
      </c>
      <c r="G14" s="15">
        <f t="shared" si="1"/>
        <v>901</v>
      </c>
    </row>
    <row r="16" spans="1:7">
      <c r="A16" t="s">
        <v>135</v>
      </c>
      <c r="B16" t="s">
        <v>65</v>
      </c>
      <c r="C16" s="14">
        <f>C5-C14</f>
        <v>5288</v>
      </c>
      <c r="D16" s="14">
        <f t="shared" ref="D16:G16" si="2">D5-D14</f>
        <v>4588</v>
      </c>
      <c r="E16" s="14">
        <f t="shared" si="2"/>
        <v>3800</v>
      </c>
      <c r="F16" s="14">
        <f t="shared" si="2"/>
        <v>2952</v>
      </c>
      <c r="G16" s="14">
        <f t="shared" si="2"/>
        <v>2051</v>
      </c>
    </row>
    <row r="17" spans="1:7">
      <c r="A17" t="s">
        <v>136</v>
      </c>
      <c r="B17" t="s">
        <v>65</v>
      </c>
      <c r="C17" s="10">
        <v>3500</v>
      </c>
      <c r="D17" s="10">
        <v>3500</v>
      </c>
      <c r="E17" s="10">
        <v>3500</v>
      </c>
      <c r="F17" s="10">
        <v>3500</v>
      </c>
      <c r="G17" s="10">
        <v>3500</v>
      </c>
    </row>
    <row r="18" spans="1:7">
      <c r="A18" t="s">
        <v>137</v>
      </c>
      <c r="B18" t="s">
        <v>65</v>
      </c>
      <c r="C18" s="14">
        <f>C16+C17</f>
        <v>8788</v>
      </c>
      <c r="D18" s="14">
        <f t="shared" ref="D18:G18" si="3">D16+D17</f>
        <v>8088</v>
      </c>
      <c r="E18" s="14">
        <f t="shared" si="3"/>
        <v>7300</v>
      </c>
      <c r="F18" s="14">
        <f t="shared" si="3"/>
        <v>6452</v>
      </c>
      <c r="G18" s="14">
        <f t="shared" si="3"/>
        <v>5551</v>
      </c>
    </row>
    <row r="20" spans="1:7">
      <c r="A20" s="4" t="s">
        <v>138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EA21-A631-4A18-BC3D-0B0F646006A4}">
  <dimension ref="A2:C20"/>
  <sheetViews>
    <sheetView workbookViewId="0">
      <selection activeCell="A25" sqref="A25"/>
    </sheetView>
  </sheetViews>
  <sheetFormatPr baseColWidth="10" defaultColWidth="8.83203125" defaultRowHeight="16"/>
  <cols>
    <col min="1" max="1" width="27.1640625" customWidth="1"/>
    <col min="2" max="2" width="24.83203125" customWidth="1"/>
    <col min="3" max="3" width="23.83203125" customWidth="1"/>
  </cols>
  <sheetData>
    <row r="2" spans="1:3">
      <c r="A2" s="3" t="s">
        <v>139</v>
      </c>
    </row>
    <row r="4" spans="1:3">
      <c r="A4" s="4" t="s">
        <v>59</v>
      </c>
      <c r="B4" s="4" t="s">
        <v>140</v>
      </c>
    </row>
    <row r="5" spans="1:3">
      <c r="A5" t="s">
        <v>141</v>
      </c>
      <c r="B5" t="s">
        <v>38</v>
      </c>
    </row>
    <row r="6" spans="1:3">
      <c r="A6" t="s">
        <v>142</v>
      </c>
      <c r="B6" s="10">
        <v>1122</v>
      </c>
    </row>
    <row r="7" spans="1:3">
      <c r="A7" t="s">
        <v>143</v>
      </c>
      <c r="B7" t="s">
        <v>144</v>
      </c>
    </row>
    <row r="8" spans="1:3">
      <c r="A8" s="4" t="s">
        <v>24</v>
      </c>
      <c r="B8" s="9">
        <v>26928</v>
      </c>
    </row>
    <row r="9" spans="1:3">
      <c r="A9" t="s">
        <v>145</v>
      </c>
      <c r="B9" s="10">
        <v>-5551</v>
      </c>
    </row>
    <row r="10" spans="1:3">
      <c r="A10" s="4" t="s">
        <v>146</v>
      </c>
      <c r="B10" s="14">
        <v>21377</v>
      </c>
    </row>
    <row r="13" spans="1:3">
      <c r="A13" t="s">
        <v>147</v>
      </c>
    </row>
    <row r="14" spans="1:3" ht="18">
      <c r="A14" s="6"/>
    </row>
    <row r="15" spans="1:3">
      <c r="A15" s="4" t="s">
        <v>16</v>
      </c>
      <c r="B15" s="4" t="s">
        <v>148</v>
      </c>
      <c r="C15" s="4" t="s">
        <v>149</v>
      </c>
    </row>
    <row r="16" spans="1:3">
      <c r="A16" t="s">
        <v>150</v>
      </c>
      <c r="B16">
        <v>650</v>
      </c>
      <c r="C16" s="10">
        <v>1122</v>
      </c>
    </row>
    <row r="17" spans="1:3">
      <c r="A17" t="s">
        <v>151</v>
      </c>
      <c r="B17" t="s">
        <v>152</v>
      </c>
      <c r="C17" t="s">
        <v>144</v>
      </c>
    </row>
    <row r="18" spans="1:3">
      <c r="A18" t="s">
        <v>153</v>
      </c>
      <c r="B18" s="14">
        <v>17000</v>
      </c>
      <c r="C18" s="14">
        <v>26928</v>
      </c>
    </row>
    <row r="20" spans="1:3">
      <c r="A20" s="3" t="s">
        <v>154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F54D-79A5-4DBD-A47F-244D3434CC16}">
  <dimension ref="A2:B18"/>
  <sheetViews>
    <sheetView workbookViewId="0">
      <selection activeCell="A2" sqref="A2"/>
    </sheetView>
  </sheetViews>
  <sheetFormatPr baseColWidth="10" defaultColWidth="8.83203125" defaultRowHeight="16"/>
  <cols>
    <col min="1" max="1" width="18.83203125" customWidth="1"/>
    <col min="2" max="2" width="18" customWidth="1"/>
  </cols>
  <sheetData>
    <row r="2" spans="1:2">
      <c r="A2" s="21" t="s">
        <v>155</v>
      </c>
    </row>
    <row r="4" spans="1:2">
      <c r="A4" s="4" t="s">
        <v>16</v>
      </c>
      <c r="B4" s="4" t="s">
        <v>17</v>
      </c>
    </row>
    <row r="5" spans="1:2">
      <c r="A5" t="s">
        <v>156</v>
      </c>
      <c r="B5" s="9">
        <v>7500</v>
      </c>
    </row>
    <row r="6" spans="1:2">
      <c r="A6" t="s">
        <v>157</v>
      </c>
      <c r="B6" s="9">
        <v>21377</v>
      </c>
    </row>
    <row r="7" spans="1:2">
      <c r="A7" t="s">
        <v>11</v>
      </c>
      <c r="B7" s="4">
        <v>5</v>
      </c>
    </row>
    <row r="8" spans="1:2">
      <c r="A8" s="4" t="s">
        <v>26</v>
      </c>
      <c r="B8" s="4" t="s">
        <v>158</v>
      </c>
    </row>
    <row r="9" spans="1:2">
      <c r="A9" s="4" t="s">
        <v>28</v>
      </c>
      <c r="B9" s="5">
        <v>0.27</v>
      </c>
    </row>
    <row r="12" spans="1:2">
      <c r="A12" s="3" t="s">
        <v>159</v>
      </c>
    </row>
    <row r="13" spans="1:2">
      <c r="A13" t="s">
        <v>32</v>
      </c>
      <c r="B13" t="s">
        <v>160</v>
      </c>
    </row>
    <row r="14" spans="1:2">
      <c r="A14" t="s">
        <v>161</v>
      </c>
      <c r="B14" s="10">
        <v>-7500</v>
      </c>
    </row>
    <row r="15" spans="1:2">
      <c r="A15" t="s">
        <v>162</v>
      </c>
      <c r="B15">
        <v>0</v>
      </c>
    </row>
    <row r="16" spans="1:2">
      <c r="A16" t="s">
        <v>38</v>
      </c>
      <c r="B16" s="10">
        <v>21377</v>
      </c>
    </row>
    <row r="18" spans="1:1">
      <c r="A18" s="3" t="s">
        <v>163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98FB-2955-4D36-9E71-B2AAF49FA2DD}">
  <dimension ref="A2:F20"/>
  <sheetViews>
    <sheetView topLeftCell="A4" workbookViewId="0">
      <selection activeCell="A23" sqref="A23"/>
    </sheetView>
  </sheetViews>
  <sheetFormatPr baseColWidth="10" defaultColWidth="8.83203125" defaultRowHeight="16"/>
  <cols>
    <col min="1" max="2" width="26.5" customWidth="1"/>
    <col min="3" max="3" width="22.1640625" customWidth="1"/>
    <col min="4" max="4" width="20.33203125" customWidth="1"/>
    <col min="5" max="5" width="17.1640625" customWidth="1"/>
    <col min="6" max="6" width="19.83203125" customWidth="1"/>
  </cols>
  <sheetData>
    <row r="2" spans="1:6">
      <c r="A2" s="3" t="s">
        <v>164</v>
      </c>
    </row>
    <row r="5" spans="1:6">
      <c r="A5" s="4" t="s">
        <v>165</v>
      </c>
    </row>
    <row r="6" spans="1:6">
      <c r="A6" s="4"/>
    </row>
    <row r="7" spans="1:6">
      <c r="A7" s="4" t="s">
        <v>143</v>
      </c>
      <c r="B7" t="s">
        <v>166</v>
      </c>
      <c r="C7" t="s">
        <v>167</v>
      </c>
      <c r="D7" s="19" t="s">
        <v>168</v>
      </c>
      <c r="E7" t="s">
        <v>169</v>
      </c>
      <c r="F7" t="s">
        <v>170</v>
      </c>
    </row>
    <row r="8" spans="1:6">
      <c r="A8" s="4" t="s">
        <v>171</v>
      </c>
      <c r="B8" s="1">
        <v>0.21</v>
      </c>
      <c r="C8" s="1">
        <v>0.24</v>
      </c>
      <c r="D8" s="20">
        <v>0.27</v>
      </c>
      <c r="E8" s="1">
        <v>0.29499999999999998</v>
      </c>
      <c r="F8" s="1">
        <v>0.32</v>
      </c>
    </row>
    <row r="10" spans="1:6">
      <c r="A10" s="3" t="s">
        <v>172</v>
      </c>
    </row>
    <row r="11" spans="1:6">
      <c r="A11" s="3"/>
    </row>
    <row r="12" spans="1:6">
      <c r="A12" t="s">
        <v>173</v>
      </c>
      <c r="B12" t="s">
        <v>174</v>
      </c>
      <c r="C12" t="s">
        <v>175</v>
      </c>
      <c r="D12" s="19" t="s">
        <v>176</v>
      </c>
      <c r="E12" s="2">
        <v>0.05</v>
      </c>
      <c r="F12" s="2">
        <v>0.1</v>
      </c>
    </row>
    <row r="13" spans="1:6">
      <c r="A13" t="s">
        <v>171</v>
      </c>
      <c r="B13" s="1">
        <v>0.2</v>
      </c>
      <c r="C13" s="1">
        <v>0.23499999999999999</v>
      </c>
      <c r="D13" s="20">
        <v>0.27</v>
      </c>
      <c r="E13" s="1">
        <v>0.3</v>
      </c>
      <c r="F13" s="1">
        <v>0.33</v>
      </c>
    </row>
    <row r="15" spans="1:6">
      <c r="A15" t="s">
        <v>177</v>
      </c>
    </row>
    <row r="17" spans="1:6">
      <c r="A17" t="s">
        <v>143</v>
      </c>
      <c r="B17" t="s">
        <v>166</v>
      </c>
      <c r="C17" t="s">
        <v>167</v>
      </c>
      <c r="D17" s="19" t="s">
        <v>144</v>
      </c>
      <c r="E17" t="s">
        <v>169</v>
      </c>
      <c r="F17" t="s">
        <v>170</v>
      </c>
    </row>
    <row r="18" spans="1:6">
      <c r="A18" t="s">
        <v>178</v>
      </c>
      <c r="B18" t="s">
        <v>179</v>
      </c>
      <c r="C18" t="s">
        <v>180</v>
      </c>
      <c r="D18" s="19" t="s">
        <v>181</v>
      </c>
      <c r="E18" t="s">
        <v>182</v>
      </c>
      <c r="F18" t="s">
        <v>183</v>
      </c>
    </row>
    <row r="20" spans="1:6">
      <c r="A20" s="3" t="s">
        <v>184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E8E8-127B-4E59-B7ED-4A692D92ADA6}">
  <dimension ref="A2:C26"/>
  <sheetViews>
    <sheetView tabSelected="1" workbookViewId="0">
      <selection activeCell="B29" sqref="B29"/>
    </sheetView>
  </sheetViews>
  <sheetFormatPr baseColWidth="10" defaultColWidth="8.83203125" defaultRowHeight="16"/>
  <cols>
    <col min="1" max="1" width="23.1640625" customWidth="1"/>
    <col min="2" max="2" width="21.83203125" customWidth="1"/>
    <col min="3" max="3" width="24.83203125" customWidth="1"/>
  </cols>
  <sheetData>
    <row r="2" spans="1:3">
      <c r="A2" s="3" t="s">
        <v>185</v>
      </c>
    </row>
    <row r="4" spans="1:3">
      <c r="A4" t="s">
        <v>186</v>
      </c>
      <c r="B4" t="s">
        <v>140</v>
      </c>
      <c r="C4" t="s">
        <v>187</v>
      </c>
    </row>
    <row r="5" spans="1:3">
      <c r="A5" t="s">
        <v>188</v>
      </c>
      <c r="B5" t="s">
        <v>189</v>
      </c>
      <c r="C5" s="1">
        <v>0.03</v>
      </c>
    </row>
    <row r="6" spans="1:3">
      <c r="A6" t="s">
        <v>190</v>
      </c>
      <c r="B6" s="1">
        <v>0.45</v>
      </c>
      <c r="C6" s="1">
        <v>0.4</v>
      </c>
    </row>
    <row r="7" spans="1:3">
      <c r="A7" t="s">
        <v>143</v>
      </c>
      <c r="B7">
        <v>24</v>
      </c>
      <c r="C7">
        <v>22</v>
      </c>
    </row>
    <row r="8" spans="1:3">
      <c r="A8" t="s">
        <v>191</v>
      </c>
      <c r="B8" s="2">
        <v>1</v>
      </c>
      <c r="C8" s="2">
        <v>1</v>
      </c>
    </row>
    <row r="10" spans="1:3">
      <c r="A10" s="3" t="s">
        <v>192</v>
      </c>
    </row>
    <row r="12" spans="1:3">
      <c r="A12" t="s">
        <v>16</v>
      </c>
      <c r="B12" t="s">
        <v>140</v>
      </c>
      <c r="C12" t="s">
        <v>187</v>
      </c>
    </row>
    <row r="13" spans="1:3">
      <c r="A13" t="s">
        <v>193</v>
      </c>
      <c r="B13" s="10">
        <v>1122</v>
      </c>
      <c r="C13">
        <v>900</v>
      </c>
    </row>
    <row r="14" spans="1:3">
      <c r="A14" t="s">
        <v>194</v>
      </c>
      <c r="B14" s="10">
        <v>26928</v>
      </c>
      <c r="C14" s="10">
        <v>19800</v>
      </c>
    </row>
    <row r="15" spans="1:3">
      <c r="A15" t="s">
        <v>195</v>
      </c>
      <c r="B15" s="10">
        <f>5551</f>
        <v>5551</v>
      </c>
      <c r="C15" s="10">
        <v>6300</v>
      </c>
    </row>
    <row r="16" spans="1:3">
      <c r="A16" t="s">
        <v>196</v>
      </c>
      <c r="B16" s="10">
        <f>B14-B15</f>
        <v>21377</v>
      </c>
      <c r="C16" s="10">
        <f>C14-C15</f>
        <v>13500</v>
      </c>
    </row>
    <row r="19" spans="1:3">
      <c r="A19" t="s">
        <v>197</v>
      </c>
    </row>
    <row r="21" spans="1:3">
      <c r="A21" t="s">
        <v>16</v>
      </c>
      <c r="B21" t="s">
        <v>140</v>
      </c>
      <c r="C21" t="s">
        <v>187</v>
      </c>
    </row>
    <row r="22" spans="1:3">
      <c r="A22" t="s">
        <v>198</v>
      </c>
      <c r="B22" s="10">
        <v>7500</v>
      </c>
      <c r="C22" s="10">
        <v>7500</v>
      </c>
    </row>
    <row r="23" spans="1:3">
      <c r="A23" t="s">
        <v>178</v>
      </c>
      <c r="B23">
        <v>2.85</v>
      </c>
      <c r="C23">
        <v>1.8</v>
      </c>
    </row>
    <row r="24" spans="1:3">
      <c r="A24" t="s">
        <v>171</v>
      </c>
      <c r="B24" s="2">
        <v>0.27</v>
      </c>
      <c r="C24" t="s">
        <v>199</v>
      </c>
    </row>
    <row r="26" spans="1:3">
      <c r="A26" s="3" t="s">
        <v>200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Control &amp; Deal Assumptions</vt:lpstr>
      <vt:lpstr>Operating Assumptions</vt:lpstr>
      <vt:lpstr>Historical Fiancials</vt:lpstr>
      <vt:lpstr>Operating Projections</vt:lpstr>
      <vt:lpstr>Free Cash Flow &amp; Cash Avialable</vt:lpstr>
      <vt:lpstr>Sources &amp; Uses</vt:lpstr>
      <vt:lpstr>Debt Schedule &amp; Cash Sweep</vt:lpstr>
      <vt:lpstr>Exit Analysis</vt:lpstr>
      <vt:lpstr>Returns Summary</vt:lpstr>
      <vt:lpstr>Sensitivity Analysis</vt:lpstr>
      <vt:lpstr>Downside or Break 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Gaurav</dc:creator>
  <cp:keywords/>
  <dc:description/>
  <cp:lastModifiedBy>. Gaurav</cp:lastModifiedBy>
  <cp:revision/>
  <dcterms:created xsi:type="dcterms:W3CDTF">2026-01-06T22:20:25Z</dcterms:created>
  <dcterms:modified xsi:type="dcterms:W3CDTF">2026-01-30T04:03:33Z</dcterms:modified>
  <cp:category/>
  <cp:contentStatus/>
</cp:coreProperties>
</file>