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guaravkhurana586/Downloads/"/>
    </mc:Choice>
  </mc:AlternateContent>
  <xr:revisionPtr revIDLastSave="0" documentId="8_{69893F12-964B-45DC-ADD7-4EC58187C893}" xr6:coauthVersionLast="47" xr6:coauthVersionMax="47" xr10:uidLastSave="{00000000-0000-0000-0000-000000000000}"/>
  <bookViews>
    <workbookView xWindow="28800" yWindow="0" windowWidth="38400" windowHeight="21600" firstSheet="6" activeTab="6" xr2:uid="{DD58CC92-F91D-7642-96E5-E567CE555CFC}"/>
  </bookViews>
  <sheets>
    <sheet name="Control &amp; Key Assumptions" sheetId="1" r:id="rId1"/>
    <sheet name="Revenue Drivers" sheetId="8" r:id="rId2"/>
    <sheet name="Operating Projections" sheetId="9" r:id="rId3"/>
    <sheet name="Capex &amp; Cash Flow Drivers" sheetId="10" r:id="rId4"/>
    <sheet name="Unlevered Free Cash Flow" sheetId="11" r:id="rId5"/>
    <sheet name="Terminal Value &amp; DCF Output" sheetId="12" r:id="rId6"/>
    <sheet name="Equity Value Bridge" sheetId="13" r:id="rId7"/>
    <sheet name="Cross Check &amp; sensitivities" sheetId="1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2" l="1"/>
  <c r="B24" i="10"/>
  <c r="C14" i="10"/>
  <c r="D14" i="10"/>
  <c r="E14" i="10"/>
  <c r="F14" i="10"/>
  <c r="G14" i="10"/>
  <c r="B14" i="10"/>
  <c r="C7" i="10"/>
  <c r="D7" i="10"/>
  <c r="E7" i="10"/>
  <c r="F7" i="10"/>
  <c r="G7" i="10"/>
  <c r="B7" i="10"/>
  <c r="C13" i="9"/>
  <c r="C20" i="9" s="1" a="1"/>
  <c r="C20" i="9" s="1"/>
  <c r="D13" i="9"/>
  <c r="D20" i="9" s="1" a="1"/>
  <c r="D20" i="9" s="1"/>
  <c r="E13" i="9"/>
  <c r="E20" i="9" s="1" a="1"/>
  <c r="E20" i="9" s="1"/>
  <c r="F13" i="9"/>
  <c r="F20" i="9" s="1" a="1"/>
  <c r="F20" i="9" s="1"/>
  <c r="G13" i="9"/>
  <c r="G20" i="9" s="1" a="1"/>
  <c r="G20" i="9" s="1"/>
  <c r="B13" i="9"/>
  <c r="B20" i="9" s="1" a="1"/>
  <c r="B20" i="9" s="1"/>
  <c r="C4" i="9"/>
  <c r="D4" i="9" s="1"/>
  <c r="E4" i="9" s="1"/>
  <c r="F4" i="9" s="1"/>
  <c r="G4" i="9" s="1"/>
  <c r="C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<sst xmlns="http://schemas.openxmlformats.org/spreadsheetml/2006/main" count="249" uniqueCount="140">
  <si>
    <t>Company &amp; Model Setup</t>
  </si>
  <si>
    <t>Item</t>
  </si>
  <si>
    <t>Value</t>
  </si>
  <si>
    <t>Company</t>
  </si>
  <si>
    <t>Verizon Communications Inc.</t>
  </si>
  <si>
    <t>Sector</t>
  </si>
  <si>
    <t>Telecommunications</t>
  </si>
  <si>
    <t>Valuation Method</t>
  </si>
  <si>
    <t>Discounted Cash Flow</t>
  </si>
  <si>
    <t>Currency</t>
  </si>
  <si>
    <t>USD (mm)</t>
  </si>
  <si>
    <t>Base Year</t>
  </si>
  <si>
    <t>LTM 2024</t>
  </si>
  <si>
    <t>Projection Period</t>
  </si>
  <si>
    <t>2025–2029 (5 years)</t>
  </si>
  <si>
    <t>Terminal Year</t>
  </si>
  <si>
    <t>2030E</t>
  </si>
  <si>
    <t>LTM Baseline</t>
  </si>
  <si>
    <t>Revenue Growth</t>
  </si>
  <si>
    <t>Metric</t>
  </si>
  <si>
    <t>LTM Value</t>
  </si>
  <si>
    <t>Year</t>
  </si>
  <si>
    <t>Growth %</t>
  </si>
  <si>
    <t>Revenue</t>
  </si>
  <si>
    <t>2025E</t>
  </si>
  <si>
    <t>EBITDA</t>
  </si>
  <si>
    <t>2026E</t>
  </si>
  <si>
    <t>EBITDA Margin</t>
  </si>
  <si>
    <t>2027E</t>
  </si>
  <si>
    <t>Depreciation &amp; Amortization</t>
  </si>
  <si>
    <t>2028E</t>
  </si>
  <si>
    <t>EBIT</t>
  </si>
  <si>
    <t>2029E</t>
  </si>
  <si>
    <t xml:space="preserve">EBITDA Margin </t>
  </si>
  <si>
    <t>Capital Expenditure</t>
  </si>
  <si>
    <t>Capex %</t>
  </si>
  <si>
    <t>LTM</t>
  </si>
  <si>
    <t>Other Cash Flow Anchors</t>
  </si>
  <si>
    <t>Assumption</t>
  </si>
  <si>
    <t>Cash Tax Rate</t>
  </si>
  <si>
    <t>Net Working Capital</t>
  </si>
  <si>
    <t xml:space="preserve">0% of revenue </t>
  </si>
  <si>
    <t>Change in NWC</t>
  </si>
  <si>
    <t>Minimal / neutral</t>
  </si>
  <si>
    <t>DCF reflects a mature, defensive telecom business with modest growth, stable margins, elevated near-term capital intensity, and conservative terminal assumptions.</t>
  </si>
  <si>
    <t>Revenue By Segments</t>
  </si>
  <si>
    <t>Segment</t>
  </si>
  <si>
    <t>LTM Revenue ($mm)</t>
  </si>
  <si>
    <t>% of Total</t>
  </si>
  <si>
    <t>Wireless Service</t>
  </si>
  <si>
    <t>Wireless Equipment</t>
  </si>
  <si>
    <t>Wireline / Broadband</t>
  </si>
  <si>
    <t>Other (Enterprise, Media, etc.)</t>
  </si>
  <si>
    <t>Total Revenue</t>
  </si>
  <si>
    <t>Wireless Service Growth Drivers</t>
  </si>
  <si>
    <t>Segment Growth Rates</t>
  </si>
  <si>
    <t>Annual Growth</t>
  </si>
  <si>
    <t>Driver</t>
  </si>
  <si>
    <t>Subscriber Growth</t>
  </si>
  <si>
    <t>0.5% annually</t>
  </si>
  <si>
    <t>ARPU Growth</t>
  </si>
  <si>
    <t>1.0–1.2% annually</t>
  </si>
  <si>
    <t>Churn</t>
  </si>
  <si>
    <t>Low / stable</t>
  </si>
  <si>
    <t>Other</t>
  </si>
  <si>
    <t>Revenue Growth Bridge</t>
  </si>
  <si>
    <t>Impact</t>
  </si>
  <si>
    <t>ARPU / Pricing</t>
  </si>
  <si>
    <t>Mix &amp; Other</t>
  </si>
  <si>
    <t>Total Revenue Growth</t>
  </si>
  <si>
    <t>8.0% (5-year cumulative)</t>
  </si>
  <si>
    <t>Revenue growth is driven primarily by wireless service pricing and data usage, with limited subscriber growth reflecting a mature U.S. telecom market.</t>
  </si>
  <si>
    <t>Revenue Build</t>
  </si>
  <si>
    <t>YoY Growth</t>
  </si>
  <si>
    <t>—</t>
  </si>
  <si>
    <t xml:space="preserve">EBITDA Build </t>
  </si>
  <si>
    <t>D&amp;A</t>
  </si>
  <si>
    <t xml:space="preserve">EBIT  </t>
  </si>
  <si>
    <t>Operating projections reflect modest revenue growth in a mature telecom market, stable EBITDA margins following near-term competitive pressure, and disciplined cost management</t>
  </si>
  <si>
    <t>Capital Expenditures</t>
  </si>
  <si>
    <t>Capex</t>
  </si>
  <si>
    <t>Capex (% Revenue)</t>
  </si>
  <si>
    <t>Capex / D&amp;A</t>
  </si>
  <si>
    <t>Cash Taxes</t>
  </si>
  <si>
    <t>NWC (% Revenue)</t>
  </si>
  <si>
    <t>Annual Change</t>
  </si>
  <si>
    <t>Neutral</t>
  </si>
  <si>
    <t>Cash Flow Bridge</t>
  </si>
  <si>
    <t>Less: Cash Taxes</t>
  </si>
  <si>
    <t>Less: Capex</t>
  </si>
  <si>
    <t>± Change in NWC</t>
  </si>
  <si>
    <t>Unlevered FCF (Illustrative)</t>
  </si>
  <si>
    <t>Free cash flow generation is primarily driven by stable EBITDA and a declining capital intensity profile as 5G network investment moderates over the forecast period.</t>
  </si>
  <si>
    <t>Cost of Equity</t>
  </si>
  <si>
    <t>Input</t>
  </si>
  <si>
    <t>Risk-Free Rate</t>
  </si>
  <si>
    <t>Equity Risk Premium</t>
  </si>
  <si>
    <t>Beta</t>
  </si>
  <si>
    <t>Cost of Debt</t>
  </si>
  <si>
    <t>Pre-Tax Cost of Debt</t>
  </si>
  <si>
    <t>Tax Rate</t>
  </si>
  <si>
    <t>After-Tax Cost of Debt</t>
  </si>
  <si>
    <t>Capital Structure</t>
  </si>
  <si>
    <t>Component</t>
  </si>
  <si>
    <t>Weight</t>
  </si>
  <si>
    <t>Debt</t>
  </si>
  <si>
    <t>Equity</t>
  </si>
  <si>
    <t>WAAC</t>
  </si>
  <si>
    <t>Discount Factor</t>
  </si>
  <si>
    <t>WACC</t>
  </si>
  <si>
    <t>Present Value of UFCF</t>
  </si>
  <si>
    <t>UFCF</t>
  </si>
  <si>
    <t>DF</t>
  </si>
  <si>
    <t>PV</t>
  </si>
  <si>
    <t>PV of Explicit FCF</t>
  </si>
  <si>
    <t>Terminal Value (Gordon Growth)</t>
  </si>
  <si>
    <t>Enterprise Value</t>
  </si>
  <si>
    <t>Terminal UFCF (2030E)</t>
  </si>
  <si>
    <t>PV of Terminal Value</t>
  </si>
  <si>
    <t>Terminal Growth Rate</t>
  </si>
  <si>
    <t>Terminal Value</t>
  </si>
  <si>
    <t>Terminal value represents the majority of enterprise value, consistent with Verizon’s long-duration, infrastructure-like cash flow profile.</t>
  </si>
  <si>
    <t>Equity Value</t>
  </si>
  <si>
    <t>Less: Net Debt</t>
  </si>
  <si>
    <t>Less: Minority Interest &amp; Other</t>
  </si>
  <si>
    <t>Implied Share Price</t>
  </si>
  <si>
    <t>Shares Outstanding (mm)</t>
  </si>
  <si>
    <t>Net debt reflects gross debt less cash and excludes spectrum licenses, pension obligations, and operating leases.</t>
  </si>
  <si>
    <t>Implied Multiple Cross Check</t>
  </si>
  <si>
    <t>Implied</t>
  </si>
  <si>
    <t>EV / EBITDA (LTM)</t>
  </si>
  <si>
    <t>11.6x</t>
  </si>
  <si>
    <t>EV / EBITDA (NTM)</t>
  </si>
  <si>
    <t>10.9x</t>
  </si>
  <si>
    <t>WAAC X Terminal Growth Sensitivities</t>
  </si>
  <si>
    <t>g \ WACC</t>
  </si>
  <si>
    <t>6.40%</t>
  </si>
  <si>
    <t>6.90%</t>
  </si>
  <si>
    <t>7.40%</t>
  </si>
  <si>
    <t>DCF implies equity value driven by stable long-term cash generation and declining capital intensity, with valuation sensitivity primarily driven by terminal assumptions rather than near-term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</si>
</sst>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>
    <font>
      <sz val="12"/>
      <color theme="1"/>
      <name val="TimesNewRomanPSMT"/>
      <family val="2"/>
    </font>
    <font>
      <sz val="10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NewRomanPSMT"/>
      <family val="2"/>
    </font>
    <font>
      <b/>
      <sz val="12"/>
      <color theme="1"/>
      <name val="Times New Roman"/>
      <family val="1"/>
    </font>
    <font>
      <b/>
      <sz val="12"/>
      <color rgb="FF000000"/>
      <name val="TimesNewRomanPSMT"/>
    </font>
    <font>
      <b/>
      <sz val="12"/>
      <color rgb="FF002060"/>
      <name val="TimesNewRomanPS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0" fontId="2" fillId="0" borderId="0" xfId="0" applyNumberFormat="1" applyFont="1"/>
    <xf numFmtId="9" fontId="2" fillId="0" borderId="0" xfId="0" applyNumberFormat="1" applyFont="1"/>
    <xf numFmtId="10" fontId="0" fillId="0" borderId="0" xfId="0" applyNumberFormat="1"/>
    <xf numFmtId="9" fontId="0" fillId="0" borderId="0" xfId="0" applyNumberFormat="1"/>
    <xf numFmtId="0" fontId="3" fillId="0" borderId="0" xfId="0" applyFont="1"/>
    <xf numFmtId="10" fontId="3" fillId="0" borderId="0" xfId="0" applyNumberFormat="1" applyFont="1"/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6" fontId="3" fillId="0" borderId="0" xfId="0" applyNumberFormat="1" applyFont="1"/>
    <xf numFmtId="6" fontId="0" fillId="0" borderId="0" xfId="0" applyNumberFormat="1"/>
    <xf numFmtId="9" fontId="6" fillId="0" borderId="0" xfId="0" applyNumberFormat="1" applyFont="1"/>
    <xf numFmtId="3" fontId="0" fillId="0" borderId="0" xfId="0" applyNumberFormat="1"/>
    <xf numFmtId="3" fontId="6" fillId="0" borderId="0" xfId="0" applyNumberFormat="1" applyFont="1"/>
    <xf numFmtId="0" fontId="3" fillId="2" borderId="0" xfId="0" applyFont="1" applyFill="1"/>
  </cellXfs>
  <cellStyles count="1">
    <cellStyle name="Normal" xfId="0" builtinId="0"/>
  </cellStyles>
  <dxfs count="47">
    <dxf>
      <numFmt numFmtId="14" formatCode="0.00%"/>
    </dxf>
    <dxf>
      <numFmt numFmtId="14" formatCode="0.00%"/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numFmt numFmtId="13" formatCode="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color rgb="FF002060"/>
      </font>
      <numFmt numFmtId="13" formatCode="0%"/>
    </dxf>
    <dxf>
      <numFmt numFmtId="10" formatCode="&quot;$&quot;#,##0_);[Red]\(&quot;$&quot;#,##0\)"/>
    </dxf>
    <dxf>
      <numFmt numFmtId="14" formatCode="0.00%"/>
    </dxf>
    <dxf>
      <numFmt numFmtId="14" formatCode="0.00%"/>
    </dxf>
    <dxf>
      <numFmt numFmtId="14" formatCode="0.00%"/>
    </dxf>
    <dxf>
      <numFmt numFmtId="10" formatCode="&quot;$&quot;#,##0_);[Red]\(&quot;$&quot;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2C47E9-C8A8-476B-A162-EC112981C8CC}" name="Table3" displayName="Table3" ref="A4:B11" totalsRowShown="0" headerRowDxfId="46">
  <autoFilter ref="A4:B11" xr:uid="{C92C47E9-C8A8-476B-A162-EC112981C8CC}"/>
  <tableColumns count="2">
    <tableColumn id="1" xr3:uid="{E92CF034-1F3D-4DAD-8B4F-9BCE14F29597}" name="Item"/>
    <tableColumn id="2" xr3:uid="{753EB954-FA9B-410A-93A4-52AF30FDC3BB}" name="Value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4048CCF-54DB-4F0F-87A0-A8B150CBD88B}" name="Table15" displayName="Table15" ref="A15:B20" totalsRowShown="0">
  <autoFilter ref="A15:B20" xr:uid="{34048CCF-54DB-4F0F-87A0-A8B150CBD88B}"/>
  <tableColumns count="2">
    <tableColumn id="1" xr3:uid="{890A5A85-7314-4F54-920F-EC4D6DD6292D}" name="Metric"/>
    <tableColumn id="2" xr3:uid="{8F4830AB-9736-40ED-ADD1-4BE9015E9566}" name="LTM Value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52C7DA3-583C-48B5-8C69-63245C6251CF}" name="Table18" displayName="Table18" ref="D15:E20" totalsRowShown="0">
  <autoFilter ref="D15:E20" xr:uid="{552C7DA3-583C-48B5-8C69-63245C6251CF}"/>
  <tableColumns count="2">
    <tableColumn id="1" xr3:uid="{E63FE801-EF45-42C7-B826-844B195727B1}" name="Year"/>
    <tableColumn id="2" xr3:uid="{CD6C295D-7853-4572-B8D2-E8870C5F81D5}" name="Growth %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41D116A-4295-47B6-876A-3E2BEBA3AAB1}" name="Table19" displayName="Table19" ref="A24:B30" totalsRowShown="0">
  <autoFilter ref="A24:B30" xr:uid="{141D116A-4295-47B6-876A-3E2BEBA3AAB1}"/>
  <tableColumns count="2">
    <tableColumn id="1" xr3:uid="{AEFDF40D-78E1-4A42-A50D-517C36722B4F}" name="Year"/>
    <tableColumn id="2" xr3:uid="{6B1225B6-32F7-43B7-A344-D12246B56099}" name="EBITDA Margin" dataDxfId="4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518A56B-3290-45AC-8A49-9A6819C025A8}" name="Table20" displayName="Table20" ref="D24:E29" totalsRowShown="0">
  <autoFilter ref="D24:E29" xr:uid="{5518A56B-3290-45AC-8A49-9A6819C025A8}"/>
  <tableColumns count="2">
    <tableColumn id="1" xr3:uid="{B2D2C884-7F4B-448E-9F79-B9DB916B3925}" name="Year"/>
    <tableColumn id="2" xr3:uid="{EA84963C-A2CE-4542-B09B-B2F019DE22FD}" name="Capex %" dataDxfId="4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A28CBC6-241E-447F-A202-A63205D461E8}" name="Table21" displayName="Table21" ref="A34:B37" totalsRowShown="0">
  <autoFilter ref="A34:B37" xr:uid="{9A28CBC6-241E-447F-A202-A63205D461E8}"/>
  <tableColumns count="2">
    <tableColumn id="1" xr3:uid="{886A711C-65E4-4C55-832D-ED0B923B171B}" name="Item"/>
    <tableColumn id="2" xr3:uid="{4C0F2D4E-F00F-4B76-AFBE-D4CB59EFFC15}" name="Assum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CA00004-0630-464B-8DA5-007FBE0DD893}" name="Table22" displayName="Table22" ref="A4:C9" totalsRowShown="0">
  <autoFilter ref="A4:C9" xr:uid="{2CA00004-0630-464B-8DA5-007FBE0DD893}"/>
  <tableColumns count="3">
    <tableColumn id="1" xr3:uid="{E972862F-8121-4BEB-95E0-31667C89F1E4}" name="Segment"/>
    <tableColumn id="2" xr3:uid="{4A361DBF-277B-4ECB-92CF-BF3C40B89866}" name="LTM Revenue ($mm)" dataDxfId="40"/>
    <tableColumn id="3" xr3:uid="{B5E763D1-7AD4-49FA-A258-855318891B3D}" name="% of Total" dataDxfId="3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4076E5C-2AF5-474E-9092-18055FAE9738}" name="Table23" displayName="Table23" ref="A13:B16" totalsRowShown="0" headerRowDxfId="38">
  <autoFilter ref="A13:B16" xr:uid="{E4076E5C-2AF5-474E-9092-18055FAE9738}"/>
  <tableColumns count="2">
    <tableColumn id="1" xr3:uid="{01A7858A-39D8-4C2F-AE34-0F5A8D86ECB4}" name="Driver"/>
    <tableColumn id="2" xr3:uid="{07323E52-2077-414C-AE68-4C315D86DE4E}" name="Assumption" dataDxfId="3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A3FA61A-7552-4D45-A665-10BA690BA07E}" name="Table24" displayName="Table24" ref="E12:F16" headerRowCount="0" totalsRowShown="0">
  <tableColumns count="2">
    <tableColumn id="1" xr3:uid="{7EBB2307-5469-4A3E-903A-D2A9E554D31D}" name="Segment Growth Rates"/>
    <tableColumn id="2" xr3:uid="{2969E694-E609-4B36-A5AE-C6F7AEE6D9A6}" name="Column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D9E2BD2-711B-49ED-9DAC-F3327B550363}" name="Table25" displayName="Table25" ref="A20:B24" totalsRowShown="0">
  <autoFilter ref="A20:B24" xr:uid="{AD9E2BD2-711B-49ED-9DAC-F3327B550363}"/>
  <tableColumns count="2">
    <tableColumn id="1" xr3:uid="{FF10AECC-28A5-4219-9497-B1D2D2DEBB33}" name="Driver"/>
    <tableColumn id="2" xr3:uid="{6D1E247D-B574-4E9D-8D3C-274418E8E275}" name="Impact" dataDxfId="3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AFA7102-97D0-43B9-ACDC-A046A15499E3}" name="Table26" displayName="Table26" ref="A3:G5" totalsRowShown="0">
  <autoFilter ref="A3:G5" xr:uid="{CAFA7102-97D0-43B9-ACDC-A046A15499E3}"/>
  <tableColumns count="7">
    <tableColumn id="1" xr3:uid="{5B741D6B-99FA-46C1-BB80-FF58BD2C99AA}" name="USD (mm)"/>
    <tableColumn id="2" xr3:uid="{23A06EA0-32BB-45AF-985F-12631AE435CE}" name="LTM"/>
    <tableColumn id="3" xr3:uid="{C0C05141-A411-4DEB-91AC-22487CB9E79D}" name="2025E"/>
    <tableColumn id="4" xr3:uid="{F7B5C4DF-92C7-4C07-BCEF-D75413A12C50}" name="2026E"/>
    <tableColumn id="5" xr3:uid="{A7CC91E2-021D-4C92-8E7D-F85E2F350D87}" name="2027E"/>
    <tableColumn id="6" xr3:uid="{31C586F2-234D-4BD9-BF8C-0A7C2461C893}" name="2028E"/>
    <tableColumn id="7" xr3:uid="{D54B63CD-EFFB-473D-A2D7-21E646B2B01E}" name="2029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E0D700E-1EC6-4C1E-8A45-B1CE361C3B43}" name="Table27" displayName="Table27" ref="A10:G13" totalsRowShown="0">
  <autoFilter ref="A10:G13" xr:uid="{CE0D700E-1EC6-4C1E-8A45-B1CE361C3B43}"/>
  <tableColumns count="7">
    <tableColumn id="1" xr3:uid="{AEEC8FF9-9446-471F-9D41-3C44503B9BE5}" name="USD (mm)"/>
    <tableColumn id="2" xr3:uid="{AB4C88BF-A8A9-4CAC-ADA2-E6596BCA93AF}" name="LTM"/>
    <tableColumn id="3" xr3:uid="{9D955B42-DA54-4F2B-A578-9827FCA15DD6}" name="2025E"/>
    <tableColumn id="4" xr3:uid="{203F98E8-1CAD-4CD3-B4D3-274D494A6601}" name="2026E"/>
    <tableColumn id="5" xr3:uid="{E4DE1609-617C-4ECD-9387-4DBF79838315}" name="2027E"/>
    <tableColumn id="6" xr3:uid="{1B5F2763-9116-446F-883F-C9F303C99035}" name="2028E"/>
    <tableColumn id="7" xr3:uid="{CEF30D42-BD09-4907-A250-84A1DDDB04B9}" name="2029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72AB704-90FB-49DD-BD3B-D2F670FBA98B}" name="Table28" displayName="Table28" ref="A16:G17" totalsRowShown="0">
  <autoFilter ref="A16:G17" xr:uid="{372AB704-90FB-49DD-BD3B-D2F670FBA98B}"/>
  <tableColumns count="7">
    <tableColumn id="1" xr3:uid="{13FD743D-170E-4B3C-9358-7546CAE61CD0}" name="USD (mm)"/>
    <tableColumn id="2" xr3:uid="{9A729B0D-C511-4080-94B5-749D13EBE037}" name="LTM" dataDxfId="35"/>
    <tableColumn id="3" xr3:uid="{C3CA084C-C14F-4A37-AD1C-01438DF3913A}" name="2025E" dataDxfId="34"/>
    <tableColumn id="4" xr3:uid="{44594824-C9B6-4857-BE94-36B76C3CC954}" name="2026E" dataDxfId="33"/>
    <tableColumn id="5" xr3:uid="{9EEECE7D-DB03-4696-9C12-33EDBBC2BD6B}" name="2027E" dataDxfId="32"/>
    <tableColumn id="6" xr3:uid="{382EC3A7-A3A4-4851-BFD0-9FB64FD0E40B}" name="2028E" dataDxfId="31"/>
    <tableColumn id="7" xr3:uid="{7FF77E27-505E-4390-B15B-5990263738AD}" name="2029E" dataDxfId="3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0882A2C-34A5-444E-8428-CF4819AE0F86}" name="Table29" displayName="Table29" ref="A20:G20" headerRowCount="0" totalsRowShown="0" headerRowDxfId="29">
  <tableColumns count="7">
    <tableColumn id="1" xr3:uid="{A6BA997E-8ABD-4472-9AED-89DE8AE0BA67}" name="Column1"/>
    <tableColumn id="2" xr3:uid="{C3782D8A-DF37-437C-9297-95B6E4ADBBAF}" name="Column2" headerRowDxfId="28" dataDxfId="27">
      <calculatedColumnFormula array="1">B13-Table28[LTM]</calculatedColumnFormula>
    </tableColumn>
    <tableColumn id="3" xr3:uid="{713F339E-025E-471E-9A06-BF4EF1A93ABC}" name="Column3" headerRowDxfId="26" dataDxfId="25">
      <calculatedColumnFormula array="1">C13-Table28[2025E]</calculatedColumnFormula>
    </tableColumn>
    <tableColumn id="4" xr3:uid="{2FD69D04-BA0F-4E7B-BDD2-E182F269938D}" name="Column4" headerRowDxfId="24" dataDxfId="23">
      <calculatedColumnFormula array="1">D13-Table28[2026E]</calculatedColumnFormula>
    </tableColumn>
    <tableColumn id="5" xr3:uid="{31F843E4-5F15-4DA1-A5C1-35EA80229553}" name="Column5" headerRowDxfId="22" dataDxfId="21">
      <calculatedColumnFormula array="1">E13-Table28[2027E]</calculatedColumnFormula>
    </tableColumn>
    <tableColumn id="6" xr3:uid="{E0E635BB-0862-4086-9EEB-4D591D8EF36A}" name="Column6" headerRowDxfId="20" dataDxfId="19">
      <calculatedColumnFormula array="1">F13-Table28[2028E]</calculatedColumnFormula>
    </tableColumn>
    <tableColumn id="7" xr3:uid="{A9FB9D2D-3057-4BE6-B29B-40CE7AF0AE4B}" name="Column7" headerRowDxfId="18" dataDxfId="17">
      <calculatedColumnFormula array="1">G13-Table28[2029E]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0ED76AF-B274-4DDD-8308-5F7FB8D802C1}" name="Table30" displayName="Table30" ref="A4:G7" totalsRowShown="0">
  <autoFilter ref="A4:G7" xr:uid="{60ED76AF-B274-4DDD-8308-5F7FB8D802C1}"/>
  <tableColumns count="7">
    <tableColumn id="1" xr3:uid="{F001F920-C0B2-434C-9C79-127E7B09F3DB}" name="USD (mm)"/>
    <tableColumn id="2" xr3:uid="{D97A277B-90E3-42B5-833A-44594E49757A}" name="LTM"/>
    <tableColumn id="3" xr3:uid="{182C875F-1E3F-4A3B-9AF1-8DB89FF21CA3}" name="2025E"/>
    <tableColumn id="4" xr3:uid="{273BB055-FCF2-468C-AC1F-7EF83509EFB6}" name="2026E"/>
    <tableColumn id="5" xr3:uid="{63ED64CA-D3F2-43C4-B009-30ECE76E5567}" name="2027E"/>
    <tableColumn id="6" xr3:uid="{68D1968C-1979-4E86-A644-A33E33263667}" name="2028E"/>
    <tableColumn id="7" xr3:uid="{622A1A2A-63EB-4ABD-8EA7-2D815BC3A45B}" name="2029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5C9B891-B0FB-4D76-92A9-968B1F925753}" name="Table31" displayName="Table31" ref="I4:J7" totalsRowShown="0">
  <autoFilter ref="I4:J7" xr:uid="{A5C9B891-B0FB-4D76-92A9-968B1F925753}"/>
  <tableColumns count="2">
    <tableColumn id="1" xr3:uid="{9444E983-B397-4B35-B995-D08896190C4D}" name="Metric"/>
    <tableColumn id="2" xr3:uid="{AED80310-0718-42A7-BE97-ED2116892921}" name="LT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9B7E7DB-B05F-4659-AD73-F8924B266B34}" name="Table32" displayName="Table32" ref="A11:G14" totalsRowShown="0">
  <autoFilter ref="A11:G14" xr:uid="{29B7E7DB-B05F-4659-AD73-F8924B266B34}"/>
  <tableColumns count="7">
    <tableColumn id="1" xr3:uid="{9B8BC60D-1D08-4C6D-99BD-23522E218B7C}" name="USD (mm)"/>
    <tableColumn id="2" xr3:uid="{6E8107DD-D853-4381-80F1-4520787CB4F5}" name="LTM"/>
    <tableColumn id="3" xr3:uid="{0A899CBD-8F99-4624-B30E-6CA6415C99B4}" name="2025E"/>
    <tableColumn id="4" xr3:uid="{4AA75A6D-4C9F-41E3-BA61-6490991D789D}" name="2026E"/>
    <tableColumn id="5" xr3:uid="{700D936E-8E44-4541-88E1-4657C779200A}" name="2027E"/>
    <tableColumn id="6" xr3:uid="{A3CA55DD-6A04-4F52-B596-E91E5A120458}" name="2028E"/>
    <tableColumn id="7" xr3:uid="{340ABCBA-38FA-4607-8F67-7944D6BC529B}" name="2029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9A54EB6-F3B1-424A-8427-9BF7B444B69A}" name="Table33" displayName="Table33" ref="I12:J14" totalsRowShown="0">
  <autoFilter ref="I12:J14" xr:uid="{69A54EB6-F3B1-424A-8427-9BF7B444B69A}"/>
  <tableColumns count="2">
    <tableColumn id="1" xr3:uid="{12980C59-23EC-420F-9D9A-236443092044}" name="Item"/>
    <tableColumn id="2" xr3:uid="{55361C5D-2B96-4018-8122-06C578B2D10A}" name="Assump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0ED7C59-C208-47AD-8BC3-A735F1F0850B}" name="Table34" displayName="Table34" ref="A19:B24" totalsRowShown="0">
  <autoFilter ref="A19:B24" xr:uid="{B0ED7C59-C208-47AD-8BC3-A735F1F0850B}"/>
  <tableColumns count="2">
    <tableColumn id="1" xr3:uid="{21D824D6-06DD-4CE3-972A-31291935D863}" name="USD (mm)"/>
    <tableColumn id="2" xr3:uid="{FC10268A-BB34-4882-9334-DD75CCEBF573}" name="2025E" dataDxfId="1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119D56-C415-48C4-857E-B3E588677DE3}" name="Table5" displayName="Table5" ref="A3:B7" totalsRowShown="0">
  <autoFilter ref="A3:B7" xr:uid="{31119D56-C415-48C4-857E-B3E588677DE3}"/>
  <tableColumns count="2">
    <tableColumn id="1" xr3:uid="{4F756F9C-80D3-4998-BFDC-96FAD7050912}" name="Input"/>
    <tableColumn id="2" xr3:uid="{7CD00B3F-40FB-44FE-9A42-7E00E09868DC}" name="Value" dataDxfId="1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7FB5BB0-9297-4D8E-8DFE-D881C11936C5}" name="Table35" displayName="Table35" ref="A10:B13" totalsRowShown="0">
  <autoFilter ref="A10:B13" xr:uid="{87FB5BB0-9297-4D8E-8DFE-D881C11936C5}"/>
  <tableColumns count="2">
    <tableColumn id="1" xr3:uid="{D265E33A-E6C7-4433-8E9F-F920020B2375}" name="Input"/>
    <tableColumn id="2" xr3:uid="{88D4B385-2EAD-47ED-9C51-41EA4D895878}" name="Valu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F25F090-F5B2-43AE-A068-07FB2EDDE6D3}" name="Table36" displayName="Table36" ref="A16:B18" totalsRowShown="0">
  <autoFilter ref="A16:B18" xr:uid="{8F25F090-F5B2-43AE-A068-07FB2EDDE6D3}"/>
  <tableColumns count="2">
    <tableColumn id="1" xr3:uid="{AEE5E885-D9E1-4AB6-9199-5E4E6345E0AA}" name="Component"/>
    <tableColumn id="2" xr3:uid="{25F50DF9-9797-47E6-AD78-E01C8506D3FD}" name="Weight" dataDxfId="1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6615E26-11BA-44F4-AAF7-7344F142FDB8}" name="Table37" displayName="Table37" ref="A24:C29" totalsRowShown="0" headerRowDxfId="13">
  <autoFilter ref="A24:C29" xr:uid="{96615E26-11BA-44F4-AAF7-7344F142FDB8}"/>
  <tableColumns count="3">
    <tableColumn id="1" xr3:uid="{D42E8154-C85D-4EFE-97D2-801DE47B9C66}" name="Year"/>
    <tableColumn id="2" xr3:uid="{59900CCA-746F-499E-8A2F-8E7A8B8E8D0B}" name="WACC" dataDxfId="12"/>
    <tableColumn id="3" xr3:uid="{CA2EF243-E00F-40C0-849D-22B57ECE15EC}" name="Discount Factor" dataDxfId="1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C411982-E570-4D12-B35B-2FB52438A110}" name="Table38" displayName="Table38" ref="A21:B21" headerRowCount="0" totalsRowShown="0">
  <tableColumns count="2">
    <tableColumn id="1" xr3:uid="{2BCC7141-A4D6-4E88-A7DA-C57089301E7F}" name="Column1" headerRowDxfId="10" dataDxfId="9"/>
    <tableColumn id="2" xr3:uid="{2B1C44F3-7B89-4729-9113-BC6C951D0D2C}" name="Column2" headerRowDxfId="8" dataDxfId="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7893B97-B014-4E3D-8E93-E30338A3D2ED}" name="Table39" displayName="Table39" ref="A4:D10" totalsRowShown="0">
  <autoFilter ref="A4:D10" xr:uid="{F7893B97-B014-4E3D-8E93-E30338A3D2ED}"/>
  <tableColumns count="4">
    <tableColumn id="1" xr3:uid="{A7D054C2-C4D9-48F5-974F-4D166F1ACBBA}" name="USD (mm)"/>
    <tableColumn id="2" xr3:uid="{FBA63C3A-827B-44F7-87C1-733EE5611D18}" name="UFCF" dataDxfId="6"/>
    <tableColumn id="3" xr3:uid="{9560FF7A-4532-4ADF-86A5-54940979CF7C}" name="DF"/>
    <tableColumn id="4" xr3:uid="{F7645F12-1B41-49B9-9A3F-05F1DDFDACB0}" name="PV" dataDxfId="5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7E4D3EA-F4A9-4091-881C-39EE5DDE3048}" name="Table40" displayName="Table40" ref="A14:B20" totalsRowShown="0">
  <autoFilter ref="A14:B20" xr:uid="{77E4D3EA-F4A9-4091-881C-39EE5DDE3048}"/>
  <tableColumns count="2">
    <tableColumn id="1" xr3:uid="{2D8DF9C3-43D5-4FAC-B527-E0386431A9CB}" name="Input"/>
    <tableColumn id="2" xr3:uid="{90D1E223-6864-44B5-9ADE-089513E615D0}" name="Valu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B7CA067-29C5-4CF0-8AEC-101B62E44D17}" name="Table41" displayName="Table41" ref="D13:E16" totalsRowShown="0">
  <autoFilter ref="D13:E16" xr:uid="{CB7CA067-29C5-4CF0-8AEC-101B62E44D17}"/>
  <tableColumns count="2">
    <tableColumn id="1" xr3:uid="{BE23354B-AB69-49D3-AB45-AAE91920FFF0}" name="Metric"/>
    <tableColumn id="2" xr3:uid="{E1DB4A2D-CA46-479D-9245-3C76CB8F8383}" name="Value" dataDxfId="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7837D4C-DB77-473F-8A41-E19BB222AFB5}" name="Table42" displayName="Table42" ref="A4:B8" totalsRowShown="0">
  <autoFilter ref="A4:B8" xr:uid="{97837D4C-DB77-473F-8A41-E19BB222AFB5}"/>
  <tableColumns count="2">
    <tableColumn id="1" xr3:uid="{01D5D9B3-CCD2-435E-AF37-562B126C7290}" name="USD (mm)"/>
    <tableColumn id="2" xr3:uid="{32B4FA80-D8D9-401F-BA86-D61E61D74500}" name="Value" dataDxfId="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9014D45-5D46-4E6C-9724-E640A4BD3A64}" name="Table43" displayName="Table43" ref="A12:B14" totalsRowShown="0">
  <autoFilter ref="A12:B14" xr:uid="{19014D45-5D46-4E6C-9724-E640A4BD3A64}"/>
  <tableColumns count="2">
    <tableColumn id="1" xr3:uid="{CD677F13-EF28-4846-B441-722828CF921B}" name="Input"/>
    <tableColumn id="2" xr3:uid="{7AFAEC60-AC67-45C3-B79F-58DD545D9CAB}" name="Valu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A6D3F41-4C2D-4224-BA77-775CA4BCB79B}" name="Table44" displayName="Table44" ref="A4:B6" totalsRowShown="0">
  <autoFilter ref="A4:B6" xr:uid="{EA6D3F41-4C2D-4224-BA77-775CA4BCB79B}"/>
  <tableColumns count="2">
    <tableColumn id="1" xr3:uid="{B45A25CD-3DC2-40FE-95CF-F309C99AB616}" name="Metric"/>
    <tableColumn id="2" xr3:uid="{5EABCD12-79C1-4A84-A210-24BED39AA518}" name="Implied" dataDxfId="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7ADEAC3-32E2-4F64-9C9A-95E531B5087B}" name="Table45" displayName="Table45" ref="A10:D13" totalsRowShown="0" headerRowDxfId="1">
  <autoFilter ref="A10:D13" xr:uid="{07ADEAC3-32E2-4F64-9C9A-95E531B5087B}"/>
  <tableColumns count="4">
    <tableColumn id="1" xr3:uid="{BAB34D1C-AD0C-4DF6-AA98-603071660F1B}" name="g \ WACC" dataDxfId="0"/>
    <tableColumn id="2" xr3:uid="{CC40D07F-BAD3-4204-879C-1512F9E76B25}" name="6.40%"/>
    <tableColumn id="3" xr3:uid="{3423B22C-A01A-4FD1-BCBD-6F0EA24E9D44}" name="6.90%"/>
    <tableColumn id="4" xr3:uid="{D9BCD3AA-6BED-49B9-83E8-ED3D3261C357}" name="7.40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4B9F-4402-6943-87BE-AB39F0402170}">
  <dimension ref="A1:Q55"/>
  <sheetViews>
    <sheetView workbookViewId="0">
      <selection activeCell="D3" sqref="D3"/>
    </sheetView>
  </sheetViews>
  <sheetFormatPr defaultColWidth="11.5546875" defaultRowHeight="15.95"/>
  <cols>
    <col min="1" max="1" width="27.6640625" customWidth="1"/>
    <col min="2" max="2" width="27" customWidth="1"/>
    <col min="4" max="4" width="23.44140625" customWidth="1"/>
    <col min="5" max="5" width="20.6640625" customWidth="1"/>
  </cols>
  <sheetData>
    <row r="1" spans="1:5" ht="15"/>
    <row r="2" spans="1:5" ht="15.75">
      <c r="A2" s="12" t="s">
        <v>0</v>
      </c>
    </row>
    <row r="3" spans="1:5" ht="15"/>
    <row r="4" spans="1:5" ht="15.75">
      <c r="A4" s="8" t="s">
        <v>1</v>
      </c>
      <c r="B4" s="8" t="s">
        <v>2</v>
      </c>
    </row>
    <row r="5" spans="1:5" ht="15">
      <c r="A5" t="s">
        <v>3</v>
      </c>
      <c r="B5" t="s">
        <v>4</v>
      </c>
    </row>
    <row r="6" spans="1:5" ht="15">
      <c r="A6" t="s">
        <v>5</v>
      </c>
      <c r="B6" t="s">
        <v>6</v>
      </c>
    </row>
    <row r="7" spans="1:5" ht="15">
      <c r="A7" t="s">
        <v>7</v>
      </c>
      <c r="B7" t="s">
        <v>8</v>
      </c>
    </row>
    <row r="8" spans="1:5" ht="15">
      <c r="A8" t="s">
        <v>9</v>
      </c>
      <c r="B8" t="s">
        <v>10</v>
      </c>
    </row>
    <row r="9" spans="1:5" ht="15.75">
      <c r="A9" t="s">
        <v>11</v>
      </c>
      <c r="B9" s="8" t="s">
        <v>12</v>
      </c>
    </row>
    <row r="10" spans="1:5" ht="15.75">
      <c r="A10" t="s">
        <v>13</v>
      </c>
      <c r="B10" s="8" t="s">
        <v>14</v>
      </c>
    </row>
    <row r="11" spans="1:5" ht="15.75">
      <c r="A11" t="s">
        <v>15</v>
      </c>
      <c r="B11" s="8" t="s">
        <v>16</v>
      </c>
    </row>
    <row r="12" spans="1:5" ht="15.75">
      <c r="A12" s="8"/>
      <c r="B12" s="10"/>
    </row>
    <row r="13" spans="1:5" ht="15.75">
      <c r="A13" s="8" t="s">
        <v>17</v>
      </c>
      <c r="B13" s="10"/>
      <c r="D13" s="12" t="s">
        <v>18</v>
      </c>
    </row>
    <row r="14" spans="1:5" ht="15.75">
      <c r="A14" s="8"/>
      <c r="B14" s="9"/>
    </row>
    <row r="15" spans="1:5" ht="15">
      <c r="A15" t="s">
        <v>19</v>
      </c>
      <c r="B15" t="s">
        <v>20</v>
      </c>
      <c r="D15" t="s">
        <v>21</v>
      </c>
      <c r="E15" t="s">
        <v>22</v>
      </c>
    </row>
    <row r="16" spans="1:5" ht="15">
      <c r="A16" t="s">
        <v>23</v>
      </c>
      <c r="B16" s="14">
        <v>134000</v>
      </c>
      <c r="D16" t="s">
        <v>24</v>
      </c>
      <c r="E16" s="6">
        <v>1.4999999999999999E-2</v>
      </c>
    </row>
    <row r="17" spans="1:17" ht="15">
      <c r="A17" t="s">
        <v>25</v>
      </c>
      <c r="B17" s="14">
        <v>48000</v>
      </c>
      <c r="D17" t="s">
        <v>26</v>
      </c>
      <c r="E17" s="6">
        <v>1.7999999999999999E-2</v>
      </c>
    </row>
    <row r="18" spans="1:17" ht="15">
      <c r="A18" t="s">
        <v>27</v>
      </c>
      <c r="B18" s="6">
        <v>0.35799999999999998</v>
      </c>
      <c r="D18" t="s">
        <v>28</v>
      </c>
      <c r="E18" s="6">
        <v>0.02</v>
      </c>
    </row>
    <row r="19" spans="1:17" ht="15">
      <c r="A19" t="s">
        <v>29</v>
      </c>
      <c r="B19" s="14">
        <v>20000</v>
      </c>
      <c r="D19" t="s">
        <v>30</v>
      </c>
      <c r="E19" s="6">
        <v>0.02</v>
      </c>
    </row>
    <row r="20" spans="1:17" ht="15">
      <c r="A20" t="s">
        <v>31</v>
      </c>
      <c r="B20" s="14">
        <v>28000</v>
      </c>
      <c r="D20" t="s">
        <v>32</v>
      </c>
      <c r="E20" s="6">
        <v>1.7999999999999999E-2</v>
      </c>
    </row>
    <row r="21" spans="1:17" ht="15"/>
    <row r="22" spans="1:17" ht="15.75">
      <c r="A22" s="8" t="s">
        <v>33</v>
      </c>
      <c r="D22" s="8" t="s">
        <v>34</v>
      </c>
    </row>
    <row r="23" spans="1:17" ht="15"/>
    <row r="24" spans="1:17" ht="15.75">
      <c r="A24" t="s">
        <v>21</v>
      </c>
      <c r="B24" t="s">
        <v>27</v>
      </c>
      <c r="D24" t="s">
        <v>21</v>
      </c>
      <c r="E24" t="s">
        <v>35</v>
      </c>
      <c r="L24" s="1"/>
      <c r="M24" s="1"/>
      <c r="N24" s="1"/>
      <c r="O24" s="1"/>
      <c r="P24" s="1"/>
      <c r="Q24" s="1"/>
    </row>
    <row r="25" spans="1:17" ht="15.75">
      <c r="A25" t="s">
        <v>36</v>
      </c>
      <c r="B25" s="6">
        <v>0.35799999999999998</v>
      </c>
      <c r="D25" t="s">
        <v>24</v>
      </c>
      <c r="E25" s="6">
        <v>0.16</v>
      </c>
      <c r="K25" s="11"/>
      <c r="L25" s="3"/>
      <c r="M25" s="3"/>
      <c r="N25" s="3"/>
      <c r="O25" s="3"/>
      <c r="P25" s="3"/>
      <c r="Q25" s="3"/>
    </row>
    <row r="26" spans="1:17" ht="15.75">
      <c r="A26" t="s">
        <v>24</v>
      </c>
      <c r="B26" s="6">
        <v>0.35499999999999998</v>
      </c>
      <c r="D26" t="s">
        <v>26</v>
      </c>
      <c r="E26" s="6">
        <v>0.15</v>
      </c>
      <c r="K26" s="11"/>
      <c r="L26" s="4"/>
      <c r="M26" s="4"/>
      <c r="N26" s="4"/>
      <c r="O26" s="4"/>
      <c r="P26" s="4"/>
      <c r="Q26" s="4"/>
    </row>
    <row r="27" spans="1:17" ht="15.75">
      <c r="A27" t="s">
        <v>26</v>
      </c>
      <c r="B27" s="6">
        <v>0.35699999999999998</v>
      </c>
      <c r="D27" t="s">
        <v>28</v>
      </c>
      <c r="E27" s="6">
        <v>0.14000000000000001</v>
      </c>
      <c r="K27" s="11"/>
      <c r="L27" s="2"/>
      <c r="M27" s="2"/>
      <c r="N27" s="2"/>
      <c r="O27" s="2"/>
      <c r="P27" s="2"/>
      <c r="Q27" s="2"/>
    </row>
    <row r="28" spans="1:17" ht="15.75">
      <c r="A28" t="s">
        <v>28</v>
      </c>
      <c r="B28" s="6">
        <v>0.36</v>
      </c>
      <c r="D28" t="s">
        <v>30</v>
      </c>
      <c r="E28" s="6">
        <v>0.13500000000000001</v>
      </c>
      <c r="K28" s="11"/>
      <c r="L28" s="3"/>
      <c r="M28" s="3"/>
      <c r="N28" s="3"/>
      <c r="O28" s="3"/>
      <c r="P28" s="3"/>
      <c r="Q28" s="3"/>
    </row>
    <row r="29" spans="1:17" ht="15.75">
      <c r="A29" t="s">
        <v>30</v>
      </c>
      <c r="B29" s="6">
        <v>0.36199999999999999</v>
      </c>
      <c r="D29" t="s">
        <v>32</v>
      </c>
      <c r="E29" s="6">
        <v>0.13</v>
      </c>
      <c r="K29" s="11"/>
      <c r="L29" s="5"/>
      <c r="M29" s="4"/>
      <c r="N29" s="4"/>
      <c r="O29" s="4"/>
      <c r="P29" s="4"/>
      <c r="Q29" s="4"/>
    </row>
    <row r="30" spans="1:17" ht="15.75">
      <c r="A30" t="s">
        <v>32</v>
      </c>
      <c r="B30" s="6">
        <v>0.36299999999999999</v>
      </c>
      <c r="K30" s="11"/>
      <c r="L30" s="3"/>
      <c r="M30" s="3"/>
      <c r="N30" s="3"/>
      <c r="O30" s="3"/>
      <c r="P30" s="3"/>
      <c r="Q30" s="3"/>
    </row>
    <row r="31" spans="1:17" ht="15.75">
      <c r="K31" s="11"/>
      <c r="L31" s="5"/>
      <c r="M31" s="5"/>
      <c r="N31" s="5"/>
      <c r="O31" s="5"/>
      <c r="P31" s="5"/>
      <c r="Q31" s="5"/>
    </row>
    <row r="32" spans="1:17" ht="15.75">
      <c r="A32" s="8" t="s">
        <v>37</v>
      </c>
      <c r="K32" s="11"/>
      <c r="L32" s="3"/>
      <c r="M32" s="3"/>
      <c r="N32" s="3"/>
      <c r="O32" s="3"/>
      <c r="P32" s="3"/>
      <c r="Q32" s="3"/>
    </row>
    <row r="33" spans="1:17" ht="15.75">
      <c r="K33" s="11"/>
      <c r="L33" s="2"/>
      <c r="M33" s="2"/>
      <c r="N33" s="2"/>
      <c r="O33" s="2"/>
      <c r="P33" s="2"/>
      <c r="Q33" s="2"/>
    </row>
    <row r="34" spans="1:17" ht="15.75">
      <c r="A34" t="s">
        <v>1</v>
      </c>
      <c r="B34" t="s">
        <v>38</v>
      </c>
      <c r="K34" s="11"/>
      <c r="L34" s="2"/>
      <c r="M34" s="2"/>
      <c r="N34" s="2"/>
      <c r="O34" s="2"/>
      <c r="P34" s="2"/>
      <c r="Q34" s="2"/>
    </row>
    <row r="35" spans="1:17" ht="15.75">
      <c r="A35" t="s">
        <v>39</v>
      </c>
      <c r="B35" s="7">
        <v>0.24</v>
      </c>
      <c r="K35" s="11"/>
      <c r="L35" s="3"/>
      <c r="M35" s="3"/>
      <c r="N35" s="3"/>
      <c r="O35" s="3"/>
      <c r="P35" s="3"/>
      <c r="Q35" s="3"/>
    </row>
    <row r="36" spans="1:17" ht="15.75">
      <c r="A36" t="s">
        <v>40</v>
      </c>
      <c r="B36" t="s">
        <v>41</v>
      </c>
      <c r="K36" s="11"/>
      <c r="L36" s="5"/>
      <c r="M36" s="5"/>
      <c r="N36" s="5"/>
      <c r="O36" s="5"/>
      <c r="P36" s="5"/>
      <c r="Q36" s="5"/>
    </row>
    <row r="37" spans="1:17" ht="15.75">
      <c r="A37" t="s">
        <v>42</v>
      </c>
      <c r="B37" t="s">
        <v>43</v>
      </c>
      <c r="K37" s="11"/>
      <c r="L37" s="3"/>
      <c r="M37" s="3"/>
      <c r="N37" s="3"/>
      <c r="O37" s="3"/>
      <c r="P37" s="3"/>
      <c r="Q37" s="3"/>
    </row>
    <row r="38" spans="1:17" ht="15.75">
      <c r="K38" s="11"/>
      <c r="L38" s="5"/>
      <c r="M38" s="5"/>
      <c r="N38" s="5"/>
      <c r="O38" s="5"/>
      <c r="P38" s="5"/>
      <c r="Q38" s="5"/>
    </row>
    <row r="39" spans="1:17" ht="15.75">
      <c r="A39" s="12" t="s">
        <v>44</v>
      </c>
      <c r="K39" s="11"/>
      <c r="L39" s="2"/>
      <c r="M39" s="3"/>
      <c r="N39" s="3"/>
      <c r="O39" s="3"/>
      <c r="P39" s="3"/>
      <c r="Q39" s="3"/>
    </row>
    <row r="40" spans="1:17" ht="15.75">
      <c r="K40" s="11"/>
      <c r="L40" s="4"/>
      <c r="M40" s="4"/>
      <c r="N40" s="4"/>
      <c r="O40" s="4"/>
      <c r="P40" s="4"/>
      <c r="Q40" s="4"/>
    </row>
    <row r="41" spans="1:17" ht="15.75">
      <c r="K41" s="11"/>
      <c r="L41" s="3"/>
      <c r="M41" s="3"/>
      <c r="N41" s="3"/>
      <c r="O41" s="3"/>
      <c r="P41" s="3"/>
      <c r="Q41" s="3"/>
    </row>
    <row r="42" spans="1:17" ht="15.75">
      <c r="K42" s="11"/>
      <c r="L42" s="2"/>
      <c r="M42" s="2"/>
      <c r="N42" s="2"/>
      <c r="O42" s="2"/>
      <c r="P42" s="2"/>
      <c r="Q42" s="2"/>
    </row>
    <row r="43" spans="1:17" ht="15.75">
      <c r="K43" s="11"/>
      <c r="L43" s="2"/>
      <c r="M43" s="2"/>
      <c r="N43" s="2"/>
      <c r="O43" s="2"/>
      <c r="P43" s="2"/>
      <c r="Q43" s="2"/>
    </row>
    <row r="44" spans="1:17" ht="15.75">
      <c r="K44" s="11"/>
      <c r="L44" s="3"/>
      <c r="M44" s="3"/>
      <c r="N44" s="3"/>
      <c r="O44" s="3"/>
      <c r="P44" s="3"/>
      <c r="Q44" s="3"/>
    </row>
    <row r="45" spans="1:17" ht="15.75">
      <c r="L45" s="1"/>
      <c r="M45" s="1"/>
      <c r="N45" s="1"/>
      <c r="O45" s="1"/>
      <c r="P45" s="1"/>
      <c r="Q45" s="1"/>
    </row>
    <row r="46" spans="1:17" ht="15.75">
      <c r="K46" s="11"/>
      <c r="L46" s="3"/>
      <c r="M46" s="3"/>
      <c r="N46" s="3"/>
      <c r="O46" s="3"/>
      <c r="P46" s="3"/>
      <c r="Q46" s="3"/>
    </row>
    <row r="47" spans="1:17" ht="15.75">
      <c r="K47" s="11"/>
      <c r="L47" s="4"/>
      <c r="M47" s="4"/>
      <c r="N47" s="4"/>
      <c r="O47" s="4"/>
      <c r="P47" s="4"/>
      <c r="Q47" s="4"/>
    </row>
    <row r="48" spans="1:17" ht="15.75">
      <c r="K48" s="11"/>
      <c r="L48" s="2"/>
      <c r="M48" s="2"/>
      <c r="N48" s="2"/>
      <c r="O48" s="2"/>
      <c r="P48" s="2"/>
      <c r="Q48" s="2"/>
    </row>
    <row r="50" ht="15"/>
    <row r="51" ht="15"/>
    <row r="52" ht="15"/>
    <row r="53" ht="15"/>
    <row r="54" ht="15"/>
    <row r="55" ht="15"/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F46C-B482-4A1D-A53B-E04F7EE214A9}">
  <dimension ref="A2:F26"/>
  <sheetViews>
    <sheetView workbookViewId="0">
      <selection activeCell="C24" sqref="C24"/>
    </sheetView>
  </sheetViews>
  <sheetFormatPr defaultRowHeight="15"/>
  <cols>
    <col min="1" max="1" width="26" customWidth="1"/>
    <col min="2" max="2" width="22" customWidth="1"/>
    <col min="3" max="3" width="21" customWidth="1"/>
    <col min="5" max="5" width="27.44140625" customWidth="1"/>
    <col min="6" max="6" width="23.6640625" customWidth="1"/>
  </cols>
  <sheetData>
    <row r="2" spans="1:6" ht="15.75">
      <c r="A2" s="12" t="s">
        <v>45</v>
      </c>
    </row>
    <row r="4" spans="1:6">
      <c r="A4" t="s">
        <v>46</v>
      </c>
      <c r="B4" t="s">
        <v>47</v>
      </c>
      <c r="C4" t="s">
        <v>48</v>
      </c>
    </row>
    <row r="5" spans="1:6" ht="15.75">
      <c r="A5" t="s">
        <v>49</v>
      </c>
      <c r="B5" s="14">
        <v>94000</v>
      </c>
      <c r="C5" s="15">
        <f>Table22[[#This Row],[LTM Revenue ($mm)]]/B9</f>
        <v>0.70149253731343286</v>
      </c>
    </row>
    <row r="6" spans="1:6" ht="15.75">
      <c r="A6" t="s">
        <v>50</v>
      </c>
      <c r="B6" s="14">
        <v>18000</v>
      </c>
      <c r="C6" s="15">
        <v>0.13</v>
      </c>
    </row>
    <row r="7" spans="1:6" ht="15.75">
      <c r="A7" t="s">
        <v>51</v>
      </c>
      <c r="B7" s="14">
        <v>16000</v>
      </c>
      <c r="C7" s="15">
        <v>0.12</v>
      </c>
    </row>
    <row r="8" spans="1:6" ht="15.75">
      <c r="A8" t="s">
        <v>52</v>
      </c>
      <c r="B8" s="14">
        <v>6000</v>
      </c>
      <c r="C8" s="15">
        <v>0.05</v>
      </c>
    </row>
    <row r="9" spans="1:6" ht="15.75">
      <c r="A9" t="s">
        <v>53</v>
      </c>
      <c r="B9" s="14">
        <v>134000</v>
      </c>
      <c r="C9" s="15">
        <v>1</v>
      </c>
    </row>
    <row r="11" spans="1:6" ht="15.75">
      <c r="A11" s="8" t="s">
        <v>54</v>
      </c>
      <c r="E11" s="8" t="s">
        <v>55</v>
      </c>
    </row>
    <row r="12" spans="1:6">
      <c r="E12" t="s">
        <v>46</v>
      </c>
      <c r="F12" t="s">
        <v>56</v>
      </c>
    </row>
    <row r="13" spans="1:6" ht="15.75">
      <c r="A13" s="8" t="s">
        <v>57</v>
      </c>
      <c r="B13" s="8" t="s">
        <v>38</v>
      </c>
      <c r="C13" s="8"/>
      <c r="E13" t="s">
        <v>49</v>
      </c>
      <c r="F13" s="6">
        <v>0.02</v>
      </c>
    </row>
    <row r="14" spans="1:6" ht="15.75">
      <c r="A14" t="s">
        <v>58</v>
      </c>
      <c r="B14" s="8" t="s">
        <v>59</v>
      </c>
      <c r="C14" s="10"/>
      <c r="E14" t="s">
        <v>50</v>
      </c>
      <c r="F14" s="6">
        <v>0.01</v>
      </c>
    </row>
    <row r="15" spans="1:6" ht="15.75">
      <c r="A15" t="s">
        <v>60</v>
      </c>
      <c r="B15" s="8" t="s">
        <v>61</v>
      </c>
      <c r="C15" s="10"/>
      <c r="E15" t="s">
        <v>51</v>
      </c>
      <c r="F15" s="6">
        <v>5.0000000000000001E-3</v>
      </c>
    </row>
    <row r="16" spans="1:6" ht="15.75">
      <c r="A16" t="s">
        <v>62</v>
      </c>
      <c r="B16" s="8" t="s">
        <v>63</v>
      </c>
      <c r="C16" s="10"/>
      <c r="E16" t="s">
        <v>64</v>
      </c>
      <c r="F16" s="6">
        <v>1.4999999999999999E-2</v>
      </c>
    </row>
    <row r="17" spans="1:3" ht="15.75">
      <c r="B17" s="13"/>
      <c r="C17" s="10"/>
    </row>
    <row r="18" spans="1:3" ht="15.75">
      <c r="A18" s="8" t="s">
        <v>65</v>
      </c>
      <c r="B18" s="13"/>
      <c r="C18" s="10"/>
    </row>
    <row r="20" spans="1:3">
      <c r="A20" t="s">
        <v>57</v>
      </c>
      <c r="B20" t="s">
        <v>66</v>
      </c>
    </row>
    <row r="21" spans="1:3">
      <c r="A21" t="s">
        <v>58</v>
      </c>
      <c r="B21" s="6">
        <v>5.0000000000000001E-3</v>
      </c>
    </row>
    <row r="22" spans="1:3">
      <c r="A22" t="s">
        <v>67</v>
      </c>
      <c r="B22" s="6">
        <v>5.5E-2</v>
      </c>
    </row>
    <row r="23" spans="1:3">
      <c r="A23" t="s">
        <v>68</v>
      </c>
      <c r="B23" s="6">
        <v>0.02</v>
      </c>
    </row>
    <row r="24" spans="1:3">
      <c r="A24" t="s">
        <v>69</v>
      </c>
      <c r="B24" t="s">
        <v>70</v>
      </c>
    </row>
    <row r="26" spans="1:3" ht="15.75">
      <c r="A26" s="12" t="s">
        <v>71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1C29-151F-483F-BAFA-7D484F838D0F}">
  <dimension ref="A2:G22"/>
  <sheetViews>
    <sheetView workbookViewId="0">
      <selection activeCell="A22" sqref="A22"/>
    </sheetView>
  </sheetViews>
  <sheetFormatPr defaultRowHeight="15"/>
  <cols>
    <col min="1" max="1" width="24.77734375" customWidth="1"/>
    <col min="2" max="2" width="17.44140625" customWidth="1"/>
    <col min="3" max="3" width="17.33203125" customWidth="1"/>
    <col min="4" max="4" width="17.5546875" customWidth="1"/>
    <col min="5" max="5" width="17.6640625" customWidth="1"/>
    <col min="6" max="7" width="17.44140625" customWidth="1"/>
  </cols>
  <sheetData>
    <row r="2" spans="1:7" ht="15.75">
      <c r="A2" s="8" t="s">
        <v>72</v>
      </c>
    </row>
    <row r="3" spans="1:7">
      <c r="A3" t="s">
        <v>10</v>
      </c>
      <c r="B3" t="s">
        <v>36</v>
      </c>
      <c r="C3" t="s">
        <v>24</v>
      </c>
      <c r="D3" t="s">
        <v>26</v>
      </c>
      <c r="E3" t="s">
        <v>28</v>
      </c>
      <c r="F3" t="s">
        <v>30</v>
      </c>
      <c r="G3" t="s">
        <v>32</v>
      </c>
    </row>
    <row r="4" spans="1:7" ht="15.75">
      <c r="A4" t="s">
        <v>23</v>
      </c>
      <c r="B4" s="16">
        <v>134000</v>
      </c>
      <c r="C4" s="17">
        <f>C5*Table26[[#This Row],[LTM]]+Table26[[#This Row],[LTM]]</f>
        <v>136010</v>
      </c>
      <c r="D4" s="17">
        <f>D5*Table26[[#This Row],[2025E]]+Table26[[#This Row],[2025E]]</f>
        <v>138458.18</v>
      </c>
      <c r="E4" s="17">
        <f>E5*Table26[[#This Row],[2026E]]+Table26[[#This Row],[2026E]]</f>
        <v>141227.34359999999</v>
      </c>
      <c r="F4" s="17">
        <f>F5*Table26[[#This Row],[2027E]]+Table26[[#This Row],[2027E]]</f>
        <v>144051.890472</v>
      </c>
      <c r="G4" s="17">
        <f>G5*Table26[[#This Row],[2028E]]+Table26[[#This Row],[2028E]]</f>
        <v>146644.824500496</v>
      </c>
    </row>
    <row r="5" spans="1:7">
      <c r="A5" t="s">
        <v>73</v>
      </c>
      <c r="B5" t="s">
        <v>74</v>
      </c>
      <c r="C5" s="6">
        <v>1.4999999999999999E-2</v>
      </c>
      <c r="D5" s="6">
        <v>1.7999999999999999E-2</v>
      </c>
      <c r="E5" s="6">
        <v>0.02</v>
      </c>
      <c r="F5" s="6">
        <v>0.02</v>
      </c>
      <c r="G5" s="6">
        <v>1.7999999999999999E-2</v>
      </c>
    </row>
    <row r="7" spans="1:7" ht="15.75">
      <c r="A7" s="8" t="s">
        <v>75</v>
      </c>
    </row>
    <row r="10" spans="1:7">
      <c r="A10" t="s">
        <v>10</v>
      </c>
      <c r="B10" t="s">
        <v>36</v>
      </c>
      <c r="C10" t="s">
        <v>24</v>
      </c>
      <c r="D10" t="s">
        <v>26</v>
      </c>
      <c r="E10" t="s">
        <v>28</v>
      </c>
      <c r="F10" t="s">
        <v>30</v>
      </c>
      <c r="G10" t="s">
        <v>32</v>
      </c>
    </row>
    <row r="11" spans="1:7">
      <c r="A11" t="s">
        <v>23</v>
      </c>
      <c r="B11" s="16">
        <v>134000</v>
      </c>
      <c r="C11" s="16">
        <v>136010</v>
      </c>
      <c r="D11" s="16">
        <v>138458</v>
      </c>
      <c r="E11" s="16">
        <v>141227</v>
      </c>
      <c r="F11" s="16">
        <v>144052</v>
      </c>
      <c r="G11" s="16">
        <v>146645</v>
      </c>
    </row>
    <row r="12" spans="1:7">
      <c r="A12" t="s">
        <v>27</v>
      </c>
      <c r="B12" s="6">
        <v>0.35799999999999998</v>
      </c>
      <c r="C12" s="6">
        <v>0.35499999999999998</v>
      </c>
      <c r="D12" s="6">
        <v>0.35699999999999998</v>
      </c>
      <c r="E12" s="6">
        <v>0.36</v>
      </c>
      <c r="F12" s="6">
        <v>0.36199999999999999</v>
      </c>
      <c r="G12" s="6">
        <v>0.36299999999999999</v>
      </c>
    </row>
    <row r="13" spans="1:7" ht="15.75">
      <c r="A13" t="s">
        <v>25</v>
      </c>
      <c r="B13" s="17">
        <f>B12*B11</f>
        <v>47972</v>
      </c>
      <c r="C13" s="17">
        <f t="shared" ref="C13:G13" si="0">C12*C11</f>
        <v>48283.549999999996</v>
      </c>
      <c r="D13" s="17">
        <f t="shared" si="0"/>
        <v>49429.506000000001</v>
      </c>
      <c r="E13" s="17">
        <f t="shared" si="0"/>
        <v>50841.72</v>
      </c>
      <c r="F13" s="17">
        <f t="shared" si="0"/>
        <v>52146.824000000001</v>
      </c>
      <c r="G13" s="17">
        <f t="shared" si="0"/>
        <v>53232.135000000002</v>
      </c>
    </row>
    <row r="15" spans="1:7" ht="15.75">
      <c r="A15" s="8" t="s">
        <v>29</v>
      </c>
    </row>
    <row r="16" spans="1:7">
      <c r="A16" t="s">
        <v>10</v>
      </c>
      <c r="B16" t="s">
        <v>36</v>
      </c>
      <c r="C16" t="s">
        <v>24</v>
      </c>
      <c r="D16" t="s">
        <v>26</v>
      </c>
      <c r="E16" t="s">
        <v>28</v>
      </c>
      <c r="F16" t="s">
        <v>30</v>
      </c>
      <c r="G16" t="s">
        <v>32</v>
      </c>
    </row>
    <row r="17" spans="1:7">
      <c r="A17" t="s">
        <v>76</v>
      </c>
      <c r="B17" s="16">
        <v>20000</v>
      </c>
      <c r="C17" s="16">
        <v>20500</v>
      </c>
      <c r="D17" s="16">
        <v>21000</v>
      </c>
      <c r="E17" s="16">
        <v>21500</v>
      </c>
      <c r="F17" s="16">
        <v>22000</v>
      </c>
      <c r="G17" s="16">
        <v>22500</v>
      </c>
    </row>
    <row r="20" spans="1:7">
      <c r="A20" t="s">
        <v>77</v>
      </c>
      <c r="B20" s="16" cm="1">
        <f t="array" ref="B20">B13-Table28[LTM]</f>
        <v>27972</v>
      </c>
      <c r="C20" s="16" cm="1">
        <f t="array" ref="C20">C13-Table28[2025E]</f>
        <v>27783.549999999996</v>
      </c>
      <c r="D20" s="16" cm="1">
        <f t="array" ref="D20">D13-Table28[2026E]</f>
        <v>28429.506000000001</v>
      </c>
      <c r="E20" s="16" cm="1">
        <f t="array" ref="E20">E13-Table28[2027E]</f>
        <v>29341.72</v>
      </c>
      <c r="F20" s="16" cm="1">
        <f t="array" ref="F20">F13-Table28[2028E]</f>
        <v>30146.824000000001</v>
      </c>
      <c r="G20" s="16" cm="1">
        <f t="array" ref="G20">G13-Table28[2029E]</f>
        <v>30732.135000000002</v>
      </c>
    </row>
    <row r="22" spans="1:7" ht="15.75">
      <c r="A22" s="12" t="s">
        <v>78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A2F4-419B-404B-A71E-EC79B378F801}">
  <dimension ref="A3:J26"/>
  <sheetViews>
    <sheetView workbookViewId="0">
      <selection activeCell="A27" sqref="A27"/>
    </sheetView>
  </sheetViews>
  <sheetFormatPr defaultRowHeight="15"/>
  <cols>
    <col min="1" max="1" width="25.33203125" customWidth="1"/>
    <col min="2" max="2" width="17.88671875" customWidth="1"/>
    <col min="3" max="4" width="17.77734375" customWidth="1"/>
    <col min="5" max="5" width="17.88671875" customWidth="1"/>
    <col min="6" max="6" width="18.109375" customWidth="1"/>
    <col min="7" max="7" width="18" customWidth="1"/>
    <col min="9" max="9" width="18.44140625" customWidth="1"/>
    <col min="10" max="10" width="12.88671875" customWidth="1"/>
  </cols>
  <sheetData>
    <row r="3" spans="1:10" ht="15.75">
      <c r="A3" s="8" t="s">
        <v>79</v>
      </c>
    </row>
    <row r="4" spans="1:10">
      <c r="A4" t="s">
        <v>10</v>
      </c>
      <c r="B4" t="s">
        <v>36</v>
      </c>
      <c r="C4" t="s">
        <v>24</v>
      </c>
      <c r="D4" t="s">
        <v>26</v>
      </c>
      <c r="E4" t="s">
        <v>28</v>
      </c>
      <c r="F4" t="s">
        <v>30</v>
      </c>
      <c r="G4" t="s">
        <v>32</v>
      </c>
      <c r="I4" t="s">
        <v>19</v>
      </c>
      <c r="J4" t="s">
        <v>36</v>
      </c>
    </row>
    <row r="5" spans="1:10">
      <c r="A5" t="s">
        <v>23</v>
      </c>
      <c r="B5" s="16">
        <v>134000</v>
      </c>
      <c r="C5" s="16">
        <v>136010</v>
      </c>
      <c r="D5" s="16">
        <v>138458</v>
      </c>
      <c r="E5" s="16">
        <v>141227</v>
      </c>
      <c r="F5" s="16">
        <v>144052</v>
      </c>
      <c r="G5" s="16">
        <v>146645</v>
      </c>
      <c r="I5" t="s">
        <v>80</v>
      </c>
      <c r="J5" s="16">
        <v>21200</v>
      </c>
    </row>
    <row r="6" spans="1:10">
      <c r="A6" t="s">
        <v>81</v>
      </c>
      <c r="B6" s="6">
        <v>0.158</v>
      </c>
      <c r="C6" s="6">
        <v>0.16</v>
      </c>
      <c r="D6" s="6">
        <v>0.15</v>
      </c>
      <c r="E6" s="6">
        <v>0.14000000000000001</v>
      </c>
      <c r="F6" s="6">
        <v>0.13500000000000001</v>
      </c>
      <c r="G6" s="6">
        <v>0.13</v>
      </c>
      <c r="I6" t="s">
        <v>76</v>
      </c>
      <c r="J6" s="16">
        <v>20000</v>
      </c>
    </row>
    <row r="7" spans="1:10" ht="15.75">
      <c r="A7" t="s">
        <v>80</v>
      </c>
      <c r="B7" s="17">
        <f>B6*B5</f>
        <v>21172</v>
      </c>
      <c r="C7" s="17">
        <f>C6*C5</f>
        <v>21761.600000000002</v>
      </c>
      <c r="D7" s="17">
        <f t="shared" ref="C7:G7" si="0">D6*D5</f>
        <v>20768.7</v>
      </c>
      <c r="E7" s="17">
        <f t="shared" si="0"/>
        <v>19771.780000000002</v>
      </c>
      <c r="F7" s="17">
        <f t="shared" si="0"/>
        <v>19447.02</v>
      </c>
      <c r="G7" s="17">
        <f t="shared" si="0"/>
        <v>19063.850000000002</v>
      </c>
      <c r="I7" t="s">
        <v>82</v>
      </c>
      <c r="J7" s="8">
        <v>1.1000000000000001</v>
      </c>
    </row>
    <row r="9" spans="1:10">
      <c r="A9" t="s">
        <v>83</v>
      </c>
    </row>
    <row r="11" spans="1:10" ht="15.75">
      <c r="A11" t="s">
        <v>10</v>
      </c>
      <c r="B11" t="s">
        <v>36</v>
      </c>
      <c r="C11" t="s">
        <v>24</v>
      </c>
      <c r="D11" t="s">
        <v>26</v>
      </c>
      <c r="E11" t="s">
        <v>28</v>
      </c>
      <c r="F11" t="s">
        <v>30</v>
      </c>
      <c r="G11" t="s">
        <v>32</v>
      </c>
      <c r="I11" s="8" t="s">
        <v>40</v>
      </c>
    </row>
    <row r="12" spans="1:10">
      <c r="A12" t="s">
        <v>31</v>
      </c>
      <c r="B12" s="16">
        <v>28000</v>
      </c>
      <c r="C12" s="16">
        <v>27783</v>
      </c>
      <c r="D12" s="16">
        <v>28417</v>
      </c>
      <c r="E12" s="16">
        <v>29342</v>
      </c>
      <c r="F12" s="16">
        <v>30161</v>
      </c>
      <c r="G12" s="16">
        <v>30751</v>
      </c>
      <c r="I12" t="s">
        <v>1</v>
      </c>
      <c r="J12" t="s">
        <v>38</v>
      </c>
    </row>
    <row r="13" spans="1:10">
      <c r="A13" t="s">
        <v>39</v>
      </c>
      <c r="B13" s="7">
        <v>0.24</v>
      </c>
      <c r="C13" s="7">
        <v>0.24</v>
      </c>
      <c r="D13" s="7">
        <v>0.24</v>
      </c>
      <c r="E13" s="7">
        <v>0.24</v>
      </c>
      <c r="F13" s="7">
        <v>0.24</v>
      </c>
      <c r="G13" s="7">
        <v>0.24</v>
      </c>
      <c r="I13" t="s">
        <v>84</v>
      </c>
      <c r="J13" s="7">
        <v>0</v>
      </c>
    </row>
    <row r="14" spans="1:10" ht="15.75">
      <c r="A14" t="s">
        <v>83</v>
      </c>
      <c r="B14" s="17">
        <f>B13*B12</f>
        <v>6720</v>
      </c>
      <c r="C14" s="17">
        <f t="shared" ref="C14:G14" si="1">C13*C12</f>
        <v>6667.92</v>
      </c>
      <c r="D14" s="17">
        <f t="shared" si="1"/>
        <v>6820.08</v>
      </c>
      <c r="E14" s="17">
        <f t="shared" si="1"/>
        <v>7042.08</v>
      </c>
      <c r="F14" s="17">
        <f t="shared" si="1"/>
        <v>7238.6399999999994</v>
      </c>
      <c r="G14" s="17">
        <f t="shared" si="1"/>
        <v>7380.24</v>
      </c>
      <c r="I14" t="s">
        <v>85</v>
      </c>
      <c r="J14" t="s">
        <v>86</v>
      </c>
    </row>
    <row r="17" spans="1:2" ht="15.75">
      <c r="A17" s="8" t="s">
        <v>87</v>
      </c>
    </row>
    <row r="19" spans="1:2">
      <c r="A19" t="s">
        <v>10</v>
      </c>
      <c r="B19" t="s">
        <v>24</v>
      </c>
    </row>
    <row r="20" spans="1:2">
      <c r="A20" t="s">
        <v>25</v>
      </c>
      <c r="B20" s="16">
        <v>48283</v>
      </c>
    </row>
    <row r="21" spans="1:2">
      <c r="A21" t="s">
        <v>88</v>
      </c>
      <c r="B21" s="16">
        <v>-6668</v>
      </c>
    </row>
    <row r="22" spans="1:2">
      <c r="A22" t="s">
        <v>89</v>
      </c>
      <c r="B22" s="16">
        <v>-21760</v>
      </c>
    </row>
    <row r="23" spans="1:2">
      <c r="A23" t="s">
        <v>90</v>
      </c>
      <c r="B23">
        <v>0</v>
      </c>
    </row>
    <row r="24" spans="1:2" ht="15.75">
      <c r="A24" t="s">
        <v>91</v>
      </c>
      <c r="B24" s="17">
        <f>SUM(B20-(-B21)-(-B22))</f>
        <v>19855</v>
      </c>
    </row>
    <row r="26" spans="1:2" ht="15.75">
      <c r="A26" s="12" t="s">
        <v>92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F3E6-1783-43A7-9CE6-965E63D46D55}">
  <dimension ref="A2:C29"/>
  <sheetViews>
    <sheetView topLeftCell="A15" workbookViewId="0">
      <selection activeCell="F24" sqref="F24"/>
    </sheetView>
  </sheetViews>
  <sheetFormatPr defaultRowHeight="15"/>
  <cols>
    <col min="1" max="1" width="27.109375" customWidth="1"/>
    <col min="2" max="3" width="18.44140625" customWidth="1"/>
    <col min="4" max="4" width="18.33203125" customWidth="1"/>
    <col min="5" max="5" width="24.5546875" customWidth="1"/>
    <col min="6" max="6" width="19.109375" customWidth="1"/>
    <col min="7" max="7" width="16.88671875" customWidth="1"/>
    <col min="8" max="8" width="16.21875" customWidth="1"/>
  </cols>
  <sheetData>
    <row r="2" spans="1:2" ht="15.75">
      <c r="A2" s="8" t="s">
        <v>93</v>
      </c>
    </row>
    <row r="3" spans="1:2">
      <c r="A3" t="s">
        <v>94</v>
      </c>
      <c r="B3" t="s">
        <v>2</v>
      </c>
    </row>
    <row r="4" spans="1:2">
      <c r="A4" t="s">
        <v>95</v>
      </c>
      <c r="B4" s="6">
        <v>4.2500000000000003E-2</v>
      </c>
    </row>
    <row r="5" spans="1:2">
      <c r="A5" t="s">
        <v>96</v>
      </c>
      <c r="B5" s="6">
        <v>5.5E-2</v>
      </c>
    </row>
    <row r="6" spans="1:2">
      <c r="A6" t="s">
        <v>97</v>
      </c>
      <c r="B6">
        <v>0.65</v>
      </c>
    </row>
    <row r="7" spans="1:2">
      <c r="A7" t="s">
        <v>93</v>
      </c>
      <c r="B7" s="6">
        <v>7.8E-2</v>
      </c>
    </row>
    <row r="9" spans="1:2" ht="15.75">
      <c r="A9" s="8" t="s">
        <v>98</v>
      </c>
    </row>
    <row r="10" spans="1:2">
      <c r="A10" t="s">
        <v>94</v>
      </c>
      <c r="B10" t="s">
        <v>2</v>
      </c>
    </row>
    <row r="11" spans="1:2">
      <c r="A11" t="s">
        <v>99</v>
      </c>
      <c r="B11" s="6">
        <v>5.8000000000000003E-2</v>
      </c>
    </row>
    <row r="12" spans="1:2">
      <c r="A12" t="s">
        <v>100</v>
      </c>
      <c r="B12" s="7">
        <v>0.24</v>
      </c>
    </row>
    <row r="13" spans="1:2">
      <c r="A13" t="s">
        <v>101</v>
      </c>
      <c r="B13" s="6">
        <v>4.3999999999999997E-2</v>
      </c>
    </row>
    <row r="15" spans="1:2" ht="15.75">
      <c r="A15" s="8" t="s">
        <v>102</v>
      </c>
    </row>
    <row r="16" spans="1:2">
      <c r="A16" t="s">
        <v>103</v>
      </c>
      <c r="B16" t="s">
        <v>104</v>
      </c>
    </row>
    <row r="17" spans="1:3">
      <c r="A17" t="s">
        <v>105</v>
      </c>
      <c r="B17" s="7">
        <v>0.6</v>
      </c>
    </row>
    <row r="18" spans="1:3">
      <c r="A18" t="s">
        <v>106</v>
      </c>
      <c r="B18" s="7">
        <v>0.4</v>
      </c>
    </row>
    <row r="21" spans="1:3" ht="15.75">
      <c r="A21" s="8" t="s">
        <v>107</v>
      </c>
      <c r="B21" s="9">
        <v>6.9000000000000006E-2</v>
      </c>
    </row>
    <row r="22" spans="1:3" ht="15.75">
      <c r="A22" s="8" t="s">
        <v>108</v>
      </c>
    </row>
    <row r="24" spans="1:3" ht="15.75">
      <c r="A24" s="8" t="s">
        <v>21</v>
      </c>
      <c r="B24" s="8" t="s">
        <v>109</v>
      </c>
      <c r="C24" s="8" t="s">
        <v>108</v>
      </c>
    </row>
    <row r="25" spans="1:3" ht="15.75">
      <c r="A25" t="s">
        <v>24</v>
      </c>
      <c r="B25" s="6">
        <v>6.9000000000000006E-2</v>
      </c>
      <c r="C25" s="8">
        <v>0.93500000000000005</v>
      </c>
    </row>
    <row r="26" spans="1:3" ht="15.75">
      <c r="A26" t="s">
        <v>26</v>
      </c>
      <c r="B26" s="6">
        <v>6.9000000000000006E-2</v>
      </c>
      <c r="C26" s="8">
        <v>0.874</v>
      </c>
    </row>
    <row r="27" spans="1:3" ht="15.75">
      <c r="A27" t="s">
        <v>28</v>
      </c>
      <c r="B27" s="6">
        <v>6.9000000000000006E-2</v>
      </c>
      <c r="C27" s="8">
        <v>0.81699999999999995</v>
      </c>
    </row>
    <row r="28" spans="1:3" ht="15.75">
      <c r="A28" t="s">
        <v>30</v>
      </c>
      <c r="B28" s="6">
        <v>6.9000000000000006E-2</v>
      </c>
      <c r="C28" s="8">
        <v>0.76400000000000001</v>
      </c>
    </row>
    <row r="29" spans="1:3" ht="15.75">
      <c r="A29" t="s">
        <v>32</v>
      </c>
      <c r="B29" s="6">
        <v>6.9000000000000006E-2</v>
      </c>
      <c r="C29" s="8">
        <v>0.71399999999999997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B5E5-B4F5-476D-85E2-FDD3DCFB378B}">
  <dimension ref="A2:E23"/>
  <sheetViews>
    <sheetView workbookViewId="0">
      <selection activeCell="A23" sqref="A23"/>
    </sheetView>
  </sheetViews>
  <sheetFormatPr defaultRowHeight="15"/>
  <cols>
    <col min="1" max="1" width="17.88671875" customWidth="1"/>
    <col min="2" max="2" width="17.5546875" customWidth="1"/>
    <col min="3" max="3" width="22.44140625" customWidth="1"/>
    <col min="4" max="4" width="18.109375" customWidth="1"/>
    <col min="5" max="5" width="18.44140625" customWidth="1"/>
  </cols>
  <sheetData>
    <row r="2" spans="1:5" ht="15.75">
      <c r="A2" s="8" t="s">
        <v>110</v>
      </c>
    </row>
    <row r="4" spans="1:5">
      <c r="A4" t="s">
        <v>10</v>
      </c>
      <c r="B4" t="s">
        <v>111</v>
      </c>
      <c r="C4" t="s">
        <v>112</v>
      </c>
      <c r="D4" t="s">
        <v>113</v>
      </c>
    </row>
    <row r="5" spans="1:5">
      <c r="A5" t="s">
        <v>24</v>
      </c>
      <c r="B5" s="16">
        <v>19855</v>
      </c>
      <c r="C5">
        <v>0.93500000000000005</v>
      </c>
      <c r="D5" s="16">
        <v>18556</v>
      </c>
    </row>
    <row r="6" spans="1:5">
      <c r="A6" t="s">
        <v>26</v>
      </c>
      <c r="B6" s="16">
        <v>21828</v>
      </c>
      <c r="C6">
        <v>0.874</v>
      </c>
      <c r="D6" s="16">
        <v>19083</v>
      </c>
    </row>
    <row r="7" spans="1:5">
      <c r="A7" t="s">
        <v>28</v>
      </c>
      <c r="B7" s="16">
        <v>24028</v>
      </c>
      <c r="C7">
        <v>0.81699999999999995</v>
      </c>
      <c r="D7" s="16">
        <v>19626</v>
      </c>
    </row>
    <row r="8" spans="1:5">
      <c r="A8" t="s">
        <v>30</v>
      </c>
      <c r="B8" s="16">
        <v>25475</v>
      </c>
      <c r="C8">
        <v>0.76400000000000001</v>
      </c>
      <c r="D8" s="16">
        <v>19470</v>
      </c>
    </row>
    <row r="9" spans="1:5">
      <c r="A9" t="s">
        <v>32</v>
      </c>
      <c r="B9" s="16">
        <v>26807</v>
      </c>
      <c r="C9">
        <v>0.71399999999999997</v>
      </c>
      <c r="D9" s="16">
        <v>19141</v>
      </c>
    </row>
    <row r="10" spans="1:5">
      <c r="A10" t="s">
        <v>114</v>
      </c>
      <c r="D10" s="16">
        <f>SUM(D5:D9)</f>
        <v>95876</v>
      </c>
    </row>
    <row r="12" spans="1:5" ht="15.75">
      <c r="A12" s="8" t="s">
        <v>115</v>
      </c>
      <c r="D12" s="8" t="s">
        <v>116</v>
      </c>
    </row>
    <row r="13" spans="1:5">
      <c r="D13" t="s">
        <v>19</v>
      </c>
      <c r="E13" t="s">
        <v>2</v>
      </c>
    </row>
    <row r="14" spans="1:5">
      <c r="A14" t="s">
        <v>94</v>
      </c>
      <c r="B14" t="s">
        <v>2</v>
      </c>
      <c r="D14" t="s">
        <v>114</v>
      </c>
      <c r="E14" s="16">
        <v>95876</v>
      </c>
    </row>
    <row r="15" spans="1:5">
      <c r="A15" t="s">
        <v>117</v>
      </c>
      <c r="B15" s="16">
        <v>27276</v>
      </c>
      <c r="D15" t="s">
        <v>118</v>
      </c>
      <c r="E15" s="16">
        <v>460000</v>
      </c>
    </row>
    <row r="16" spans="1:5">
      <c r="A16" t="s">
        <v>119</v>
      </c>
      <c r="B16" s="6">
        <v>1.7500000000000002E-2</v>
      </c>
      <c r="D16" t="s">
        <v>116</v>
      </c>
      <c r="E16" s="16">
        <v>555876</v>
      </c>
    </row>
    <row r="17" spans="1:2">
      <c r="A17" t="s">
        <v>109</v>
      </c>
      <c r="B17" s="6">
        <v>6.9000000000000006E-2</v>
      </c>
    </row>
    <row r="18" spans="1:2">
      <c r="A18" t="s">
        <v>120</v>
      </c>
      <c r="B18" s="14">
        <v>644000</v>
      </c>
    </row>
    <row r="19" spans="1:2">
      <c r="A19" t="s">
        <v>108</v>
      </c>
      <c r="B19">
        <v>0.71399999999999997</v>
      </c>
    </row>
    <row r="20" spans="1:2">
      <c r="A20" t="s">
        <v>118</v>
      </c>
      <c r="B20" s="16">
        <v>460000</v>
      </c>
    </row>
    <row r="23" spans="1:2" ht="15.75">
      <c r="A23" s="8" t="s">
        <v>121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5EDF-C5B7-43F0-B781-81EDFC25DC77}">
  <dimension ref="A3:B18"/>
  <sheetViews>
    <sheetView tabSelected="1" workbookViewId="0">
      <selection activeCell="A18" sqref="A18"/>
    </sheetView>
  </sheetViews>
  <sheetFormatPr defaultRowHeight="15"/>
  <cols>
    <col min="1" max="1" width="26.6640625" customWidth="1"/>
    <col min="2" max="2" width="19" customWidth="1"/>
    <col min="3" max="3" width="18.44140625" customWidth="1"/>
  </cols>
  <sheetData>
    <row r="3" spans="1:2" ht="15.75">
      <c r="A3" s="8" t="s">
        <v>122</v>
      </c>
    </row>
    <row r="4" spans="1:2">
      <c r="A4" t="s">
        <v>10</v>
      </c>
      <c r="B4" t="s">
        <v>2</v>
      </c>
    </row>
    <row r="5" spans="1:2">
      <c r="A5" t="s">
        <v>116</v>
      </c>
      <c r="B5" s="16">
        <v>555876</v>
      </c>
    </row>
    <row r="6" spans="1:2">
      <c r="A6" t="s">
        <v>123</v>
      </c>
      <c r="B6" s="16">
        <v>-150000</v>
      </c>
    </row>
    <row r="7" spans="1:2">
      <c r="A7" t="s">
        <v>124</v>
      </c>
      <c r="B7" s="16">
        <v>-5000</v>
      </c>
    </row>
    <row r="8" spans="1:2">
      <c r="A8" t="s">
        <v>122</v>
      </c>
      <c r="B8" s="16">
        <v>400876</v>
      </c>
    </row>
    <row r="11" spans="1:2" ht="15.75">
      <c r="A11" s="8" t="s">
        <v>125</v>
      </c>
    </row>
    <row r="12" spans="1:2">
      <c r="A12" t="s">
        <v>94</v>
      </c>
      <c r="B12" t="s">
        <v>2</v>
      </c>
    </row>
    <row r="13" spans="1:2">
      <c r="A13" t="s">
        <v>126</v>
      </c>
      <c r="B13" s="16">
        <v>4100</v>
      </c>
    </row>
    <row r="14" spans="1:2">
      <c r="A14" t="s">
        <v>125</v>
      </c>
      <c r="B14" s="14">
        <v>98</v>
      </c>
    </row>
    <row r="18" spans="1:1" ht="15.75">
      <c r="A18" s="8" t="s">
        <v>127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57D8-2D6B-458B-AAA0-77605E055326}">
  <dimension ref="A2:D15"/>
  <sheetViews>
    <sheetView workbookViewId="0">
      <selection activeCell="A15" sqref="A15"/>
    </sheetView>
  </sheetViews>
  <sheetFormatPr defaultRowHeight="15"/>
  <cols>
    <col min="1" max="1" width="30.33203125" customWidth="1"/>
    <col min="2" max="2" width="18" customWidth="1"/>
    <col min="3" max="3" width="17.88671875" customWidth="1"/>
    <col min="4" max="4" width="18.21875" customWidth="1"/>
  </cols>
  <sheetData>
    <row r="2" spans="1:4" ht="15.75">
      <c r="A2" s="8" t="s">
        <v>128</v>
      </c>
    </row>
    <row r="4" spans="1:4">
      <c r="A4" t="s">
        <v>19</v>
      </c>
      <c r="B4" t="s">
        <v>129</v>
      </c>
    </row>
    <row r="5" spans="1:4" ht="15.75">
      <c r="A5" t="s">
        <v>130</v>
      </c>
      <c r="B5" s="8" t="s">
        <v>131</v>
      </c>
    </row>
    <row r="6" spans="1:4" ht="15.75">
      <c r="A6" t="s">
        <v>132</v>
      </c>
      <c r="B6" s="8" t="s">
        <v>133</v>
      </c>
    </row>
    <row r="8" spans="1:4" ht="15.75">
      <c r="A8" s="8" t="s">
        <v>134</v>
      </c>
    </row>
    <row r="10" spans="1:4">
      <c r="A10" t="s">
        <v>135</v>
      </c>
      <c r="B10" s="6" t="s">
        <v>136</v>
      </c>
      <c r="C10" s="6" t="s">
        <v>137</v>
      </c>
      <c r="D10" s="6" t="s">
        <v>138</v>
      </c>
    </row>
    <row r="11" spans="1:4">
      <c r="A11" s="6">
        <v>1.2500000000000001E-2</v>
      </c>
      <c r="B11">
        <v>82</v>
      </c>
      <c r="C11">
        <v>70</v>
      </c>
      <c r="D11">
        <v>61</v>
      </c>
    </row>
    <row r="12" spans="1:4" ht="15.75">
      <c r="A12" s="6">
        <v>1.7500000000000002E-2</v>
      </c>
      <c r="B12">
        <v>98</v>
      </c>
      <c r="C12" s="18">
        <v>98</v>
      </c>
      <c r="D12">
        <v>75</v>
      </c>
    </row>
    <row r="13" spans="1:4">
      <c r="A13" s="6">
        <v>2.2499999999999999E-2</v>
      </c>
      <c r="B13">
        <v>115</v>
      </c>
      <c r="C13">
        <v>98</v>
      </c>
      <c r="D13">
        <v>86</v>
      </c>
    </row>
    <row r="15" spans="1:4" ht="15.75">
      <c r="A15" s="12" t="s">
        <v>139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 Gaurav</dc:creator>
  <cp:keywords/>
  <dc:description/>
  <cp:lastModifiedBy/>
  <cp:revision/>
  <dcterms:created xsi:type="dcterms:W3CDTF">2026-01-08T16:28:07Z</dcterms:created>
  <dcterms:modified xsi:type="dcterms:W3CDTF">2026-02-01T13:46:46Z</dcterms:modified>
  <cp:category/>
  <cp:contentStatus/>
</cp:coreProperties>
</file>