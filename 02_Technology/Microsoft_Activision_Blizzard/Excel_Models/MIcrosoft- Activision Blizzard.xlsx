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guaravkhurana586/Desktop/IB Projects/Activiison Blizzard/"/>
    </mc:Choice>
  </mc:AlternateContent>
  <xr:revisionPtr revIDLastSave="0" documentId="8_{68461992-2652-4A58-A67E-AA51E7C15E48}" xr6:coauthVersionLast="47" xr6:coauthVersionMax="47" xr10:uidLastSave="{00000000-0000-0000-0000-000000000000}"/>
  <bookViews>
    <workbookView xWindow="0" yWindow="500" windowWidth="28800" windowHeight="16620" xr2:uid="{D4A4CA2B-1FF0-CA4E-BCB8-3BB3F01560E6}"/>
  </bookViews>
  <sheets>
    <sheet name="Control &amp; Deal Summary" sheetId="9" r:id="rId1"/>
    <sheet name="Transaction Rationale" sheetId="10" r:id="rId2"/>
    <sheet name="Sources &amp; Uses" sheetId="11" r:id="rId3"/>
    <sheet name="Standalone financials" sheetId="12" r:id="rId4"/>
    <sheet name="Purchase Accounting" sheetId="13" r:id="rId5"/>
    <sheet name="Pro Forma Combined Financials" sheetId="14" r:id="rId6"/>
    <sheet name="Accretion Dilution Analysis" sheetId="15" r:id="rId7"/>
    <sheet name="Sensitivity Analysis" sheetId="16" r:id="rId8"/>
    <sheet name="Key Risks &amp; Regulatory Consider" sheetId="17" r:id="rId9"/>
    <sheet name="TRading Comparables" sheetId="18" r:id="rId10"/>
    <sheet name="Stansalone DCF ATVI" sheetId="19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4" l="1"/>
  <c r="E9" i="14"/>
</calcChain>
</file>

<file path=xl/sharedStrings.xml><?xml version="1.0" encoding="utf-8"?>
<sst xmlns="http://schemas.openxmlformats.org/spreadsheetml/2006/main" count="328" uniqueCount="241">
  <si>
    <t>Item</t>
  </si>
  <si>
    <t>Detail</t>
  </si>
  <si>
    <t>Acquirer</t>
  </si>
  <si>
    <t>Microsoft Corporation</t>
  </si>
  <si>
    <t>Target</t>
  </si>
  <si>
    <t>Activision Blizzard, Inc.</t>
  </si>
  <si>
    <t>Transaction Type</t>
  </si>
  <si>
    <t>All-cash acquisition</t>
  </si>
  <si>
    <t>Announcement Date</t>
  </si>
  <si>
    <t>Closing Date</t>
  </si>
  <si>
    <t>Consideration</t>
  </si>
  <si>
    <t>$95.00 per ATVI share (cash)</t>
  </si>
  <si>
    <t>Deal Value (Equity)</t>
  </si>
  <si>
    <t>$69 billion</t>
  </si>
  <si>
    <t>Deal Value (Enterprise)</t>
  </si>
  <si>
    <t xml:space="preserve">$69 billion </t>
  </si>
  <si>
    <t>Premium Analysis</t>
  </si>
  <si>
    <t>Valuation Multiples</t>
  </si>
  <si>
    <t>Metric</t>
  </si>
  <si>
    <t>Value</t>
  </si>
  <si>
    <t>Unaffected Share Price (1/14/2022)</t>
  </si>
  <si>
    <t>LTM Revenue</t>
  </si>
  <si>
    <t>$8.8bn</t>
  </si>
  <si>
    <t>Offer Price</t>
  </si>
  <si>
    <t>LTM EBITDA</t>
  </si>
  <si>
    <t>$3.6bn</t>
  </si>
  <si>
    <t>Premium Paid</t>
  </si>
  <si>
    <t>EV / Revenue</t>
  </si>
  <si>
    <t>7.8x</t>
  </si>
  <si>
    <t>EV / EBITDA</t>
  </si>
  <si>
    <t>19.0x</t>
  </si>
  <si>
    <t>Uses ($bn)</t>
  </si>
  <si>
    <t>Amount</t>
  </si>
  <si>
    <t>Sources ($bn)</t>
  </si>
  <si>
    <t>Equity Purchase</t>
  </si>
  <si>
    <t>Cash on Balance Sheet</t>
  </si>
  <si>
    <t>New Debt Issuance</t>
  </si>
  <si>
    <t>Total Uses</t>
  </si>
  <si>
    <t>Total Sources</t>
  </si>
  <si>
    <t xml:space="preserve">Stratergic Rationale : Microsoft acquires Activision Blizzard to accelerate Xbox content leadership, drive Game Pass subscriber growth, </t>
  </si>
  <si>
    <t>and establish a durable IP moat across console, PC, and mobile gaming ecosystems, while monetizing content over a longer lifecycle.</t>
  </si>
  <si>
    <t xml:space="preserve">Accertion /  Dilution </t>
  </si>
  <si>
    <t>key Deal Consideration</t>
  </si>
  <si>
    <t>Impact</t>
  </si>
  <si>
    <t>Area</t>
  </si>
  <si>
    <t>Commentary</t>
  </si>
  <si>
    <t>Financing Mix</t>
  </si>
  <si>
    <t>Mostly cash + incremental debt</t>
  </si>
  <si>
    <t>Synergies</t>
  </si>
  <si>
    <t>Limited cost synergies; revenue optionality longer term</t>
  </si>
  <si>
    <t>Interest Income Foregone</t>
  </si>
  <si>
    <t>Dilutive</t>
  </si>
  <si>
    <t>Regulation</t>
  </si>
  <si>
    <t>Global antitrust scrutiny (FTC, CMA, EU)</t>
  </si>
  <si>
    <t>Incremental D&amp;A (intangibles)</t>
  </si>
  <si>
    <t>Integration</t>
  </si>
  <si>
    <t>Creative autonomy preserved</t>
  </si>
  <si>
    <t>Operating Contribution</t>
  </si>
  <si>
    <t>Accretive</t>
  </si>
  <si>
    <t>Financial Risk</t>
  </si>
  <si>
    <t>Minimal given Microsoft balance sheet</t>
  </si>
  <si>
    <t>Net EPS Impact (Year 1)</t>
  </si>
  <si>
    <t>Slightly Dilutive (1–2%)</t>
  </si>
  <si>
    <t>The transaction represents a strategically driven acquisition that prioritizes long-term platform value over near-term EPS accretion, enabled by Microsoft’s balance sheet strength.</t>
  </si>
  <si>
    <t>Statergic Rationale</t>
  </si>
  <si>
    <t>Statergic Value Drivers</t>
  </si>
  <si>
    <t>Driver</t>
  </si>
  <si>
    <t>Content Exclusivity</t>
  </si>
  <si>
    <t>High</t>
  </si>
  <si>
    <t>Subscription Growth</t>
  </si>
  <si>
    <t>Cost Synergies</t>
  </si>
  <si>
    <t>Low</t>
  </si>
  <si>
    <t>Long-Term Optionality</t>
  </si>
  <si>
    <t>Very High</t>
  </si>
  <si>
    <t>Uses of Bonds</t>
  </si>
  <si>
    <t>Sources of Funds</t>
  </si>
  <si>
    <t>USD (bn)</t>
  </si>
  <si>
    <t>Equity Purchase Price</t>
  </si>
  <si>
    <t>Cash on Hand</t>
  </si>
  <si>
    <t>Transaction Fees &amp; Expenses</t>
  </si>
  <si>
    <t xml:space="preserve">Post Transaction Balance Sheet </t>
  </si>
  <si>
    <t>Sources Mix</t>
  </si>
  <si>
    <t>Pre-Deal</t>
  </si>
  <si>
    <t>Post-Deal</t>
  </si>
  <si>
    <t>Gross Debt</t>
  </si>
  <si>
    <t>Values</t>
  </si>
  <si>
    <t>Cash &amp; Equivalents</t>
  </si>
  <si>
    <t>Cash</t>
  </si>
  <si>
    <t>Net Debt</t>
  </si>
  <si>
    <t>Net Cash</t>
  </si>
  <si>
    <t>Debt</t>
  </si>
  <si>
    <t>Credit Profile</t>
  </si>
  <si>
    <t>AA+</t>
  </si>
  <si>
    <t>AA / AA-</t>
  </si>
  <si>
    <t>Standalone Income Statements</t>
  </si>
  <si>
    <t>Microsoft</t>
  </si>
  <si>
    <t>Activision Blizzard</t>
  </si>
  <si>
    <t>Revenue</t>
  </si>
  <si>
    <t>EBITDA</t>
  </si>
  <si>
    <t>EBITDA Margin</t>
  </si>
  <si>
    <t>Depreciation &amp; Amortization</t>
  </si>
  <si>
    <t>EBIT</t>
  </si>
  <si>
    <t>Interest Expense (Net)</t>
  </si>
  <si>
    <t>Pre-Tax Income</t>
  </si>
  <si>
    <t>Cash Tax Rate</t>
  </si>
  <si>
    <t>Net Income</t>
  </si>
  <si>
    <t>Share Data &amp; EPS</t>
  </si>
  <si>
    <t>Diluted Shares Outstanding (bn)</t>
  </si>
  <si>
    <t>LTM EPS ($)</t>
  </si>
  <si>
    <t>Balance Sheet</t>
  </si>
  <si>
    <t>Net Debt / (Cash)</t>
  </si>
  <si>
    <t>Standalone figures reflect normalized operating performance and exclude transaction-related costs and synergies.</t>
  </si>
  <si>
    <t>Allocation of Purchase Price</t>
  </si>
  <si>
    <t>Less: ATVI Net Cash</t>
  </si>
  <si>
    <t>Implied Enterprise Value</t>
  </si>
  <si>
    <t xml:space="preserve">Identifiable Net Asset </t>
  </si>
  <si>
    <t xml:space="preserve">Goodwill Created </t>
  </si>
  <si>
    <t>Net Tangible Assets</t>
  </si>
  <si>
    <t>Identifiable Intangible Assets</t>
  </si>
  <si>
    <t>Less: Identifiable Net Assets</t>
  </si>
  <si>
    <t>Total Identifiable Net Assets</t>
  </si>
  <si>
    <t>Goodwill</t>
  </si>
  <si>
    <t>Identifibale Intangibles</t>
  </si>
  <si>
    <t>Incremental Amortization Expense</t>
  </si>
  <si>
    <t>Asset Class</t>
  </si>
  <si>
    <t>Value ($bn)</t>
  </si>
  <si>
    <t>Useful Life</t>
  </si>
  <si>
    <t>Asset</t>
  </si>
  <si>
    <t>Life</t>
  </si>
  <si>
    <t>Annual Amortization</t>
  </si>
  <si>
    <t>Game Franchises / IP</t>
  </si>
  <si>
    <t>10 years</t>
  </si>
  <si>
    <t>Game IP</t>
  </si>
  <si>
    <t>10 yrs</t>
  </si>
  <si>
    <t>Customer Relationships</t>
  </si>
  <si>
    <t>8 years</t>
  </si>
  <si>
    <t>8 yrs</t>
  </si>
  <si>
    <t>Developed Technology</t>
  </si>
  <si>
    <t>5 years</t>
  </si>
  <si>
    <t>Technology</t>
  </si>
  <si>
    <t>5 yrs</t>
  </si>
  <si>
    <t>Total Intangibles</t>
  </si>
  <si>
    <t>—</t>
  </si>
  <si>
    <t>Total Incremental D&amp;A</t>
  </si>
  <si>
    <t>3.7 bn / year</t>
  </si>
  <si>
    <t>Deferred Tax Impact</t>
  </si>
  <si>
    <t>Intangible Write-Up</t>
  </si>
  <si>
    <t>Assumed Tax Rate</t>
  </si>
  <si>
    <t>Deferred Tax Liability</t>
  </si>
  <si>
    <t>Purchase accounting results in approximately $30bn of identifiable intangibles and ~$29bn of goodwill, with ~$3.7bn of annual amortization that creates near-term EPS dilution but does not affect cash flow.</t>
  </si>
  <si>
    <t>Pro-Forma Income Statement</t>
  </si>
  <si>
    <t>MSFT</t>
  </si>
  <si>
    <t>ATVI</t>
  </si>
  <si>
    <t>Adjustments</t>
  </si>
  <si>
    <t>Pro-Forma</t>
  </si>
  <si>
    <t>Net Interest Expense</t>
  </si>
  <si>
    <t>Cash Taxes</t>
  </si>
  <si>
    <t>Sanity Check</t>
  </si>
  <si>
    <t>The pro-forma combination reflects near-term accounting dilution from purchase amortization and incremental interest expense, while preserving Microsoft’s strong operating margin and cash-flow profile</t>
  </si>
  <si>
    <t>Accretion/ Dilution Year 1</t>
  </si>
  <si>
    <t>Standalone MSFT</t>
  </si>
  <si>
    <t>Change</t>
  </si>
  <si>
    <t>Diluted Shares (bn)</t>
  </si>
  <si>
    <t>EPS ($)</t>
  </si>
  <si>
    <t>EPS Impact (%)</t>
  </si>
  <si>
    <t>Drivers of EPS Impact</t>
  </si>
  <si>
    <t>EPS Impact</t>
  </si>
  <si>
    <t>Interest Income Foregone (Cash Used)</t>
  </si>
  <si>
    <t>Incremental Interest Expense (Debt)</t>
  </si>
  <si>
    <t>Purchase Accounting Amortization</t>
  </si>
  <si>
    <t>Operating Income from ATVI</t>
  </si>
  <si>
    <t>Net EPS Impact</t>
  </si>
  <si>
    <t>While the transaction is EPS-dilutive due to purchase accounting, it is broadly cash-flow neutral to accretive, as amortization does not impact cash generation.</t>
  </si>
  <si>
    <t>Sensitivity 1</t>
  </si>
  <si>
    <t>EPS Impact vs Funding Mix</t>
  </si>
  <si>
    <t>% Debt</t>
  </si>
  <si>
    <t>% Cash</t>
  </si>
  <si>
    <t>Sensitivity 2</t>
  </si>
  <si>
    <t>EPS Impact vs Interest Rate</t>
  </si>
  <si>
    <t>Interest Rate</t>
  </si>
  <si>
    <t>Sensitivity 3</t>
  </si>
  <si>
    <t>EPS Impact vs Annual Amortization</t>
  </si>
  <si>
    <t>$3.0bn</t>
  </si>
  <si>
    <t>$3.7bn (Base)</t>
  </si>
  <si>
    <t>$4.5bn</t>
  </si>
  <si>
    <t>EPS sensitivity is primarily driven by financing structure and purchase accounting assumptions, while operating performance provides partial offset.</t>
  </si>
  <si>
    <t xml:space="preserve">Key Risks and Considerderation </t>
  </si>
  <si>
    <t>Regulatory &amp; Antitrust Risk</t>
  </si>
  <si>
    <t>Heightened scrutiny from FTC, CMA, and EU regulators</t>
  </si>
  <si>
    <t>Concerns around content exclusivity and platform foreclosure</t>
  </si>
  <si>
    <t>Behavioral remedies required to secure approval</t>
  </si>
  <si>
    <t>Execution &amp; Integration Risk</t>
  </si>
  <si>
    <t>Preserving creative autonomy of development studios</t>
  </si>
  <si>
    <t>Retention of key talent and IP leadership</t>
  </si>
  <si>
    <t>Managing cultural differences between tech platform and creative content teams</t>
  </si>
  <si>
    <t>Strategic Risk</t>
  </si>
  <si>
    <t>Slower-than-expected Game Pass subscriber growth</t>
  </si>
  <si>
    <t>Competitive responses from Sony, Tencent, and other publishers</t>
  </si>
  <si>
    <t>Monetization timing mismatch versus upfront purchase price</t>
  </si>
  <si>
    <t>Financial &amp; Accounting Risk</t>
  </si>
  <si>
    <t>Near-term EPS dilution driven by purchase accounting</t>
  </si>
  <si>
    <t>Risk of future goodwill impairment if strategic objectives are not realized</t>
  </si>
  <si>
    <t>Trading Multiples</t>
  </si>
  <si>
    <t>Company</t>
  </si>
  <si>
    <t>EV ($bn)</t>
  </si>
  <si>
    <t>Revenue ($bn)</t>
  </si>
  <si>
    <t>EBITDA ($bn)</t>
  </si>
  <si>
    <t>Electronic Arts</t>
  </si>
  <si>
    <t>5.1 x</t>
  </si>
  <si>
    <t xml:space="preserve">16.5 x </t>
  </si>
  <si>
    <t>Take-Two Interactive</t>
  </si>
  <si>
    <t>5.7 x</t>
  </si>
  <si>
    <t>Ubisoft</t>
  </si>
  <si>
    <t xml:space="preserve">2.7 x </t>
  </si>
  <si>
    <t xml:space="preserve">15.0 x </t>
  </si>
  <si>
    <t>Median</t>
  </si>
  <si>
    <t>Activision Blizzard — Offer Implied</t>
  </si>
  <si>
    <t>Offer Enterprise Value</t>
  </si>
  <si>
    <t>$69bn</t>
  </si>
  <si>
    <t>The offer implies a premium to public trading multiples, reflecting scarcity value of premium gaming IP and strategic optionality rather than near-term financial synergies.</t>
  </si>
  <si>
    <t>Key DCF Assumptions</t>
  </si>
  <si>
    <t>Assumption</t>
  </si>
  <si>
    <t>Revenue Growth (5-yr CAGR)</t>
  </si>
  <si>
    <t>Capex (% Revenue)</t>
  </si>
  <si>
    <t>WACC</t>
  </si>
  <si>
    <t>Terminal Growth</t>
  </si>
  <si>
    <t>DCF Valuation Summary</t>
  </si>
  <si>
    <t>PV of Explicit Cash Flows</t>
  </si>
  <si>
    <t>$22bn</t>
  </si>
  <si>
    <t>PV of Terminal Value</t>
  </si>
  <si>
    <t>$35bn</t>
  </si>
  <si>
    <t>$57bn</t>
  </si>
  <si>
    <t>Microsoft Offer EV</t>
  </si>
  <si>
    <t>Implied Premium to DCF</t>
  </si>
  <si>
    <t>20–25%</t>
  </si>
  <si>
    <t>Implied EV Sensitivity</t>
  </si>
  <si>
    <t>WACC \ g</t>
  </si>
  <si>
    <t>1.50%</t>
  </si>
  <si>
    <t>2.00%</t>
  </si>
  <si>
    <t>2.50%</t>
  </si>
  <si>
    <t>DCF excludes strategic synergies, cross-platform monetization, and Game Pass subscription upside.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</si>
</sst>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>
    <font>
      <sz val="12"/>
      <color theme="1"/>
      <name val="TimesNewRomanPSMT"/>
      <family val="2"/>
    </font>
    <font>
      <b/>
      <sz val="12"/>
      <color theme="1"/>
      <name val="TimesNewRomanPSMT"/>
      <family val="2"/>
    </font>
    <font>
      <b/>
      <sz val="12"/>
      <color rgb="FF000000"/>
      <name val="TimesNewRomanPSMT"/>
    </font>
    <font>
      <b/>
      <sz val="12"/>
      <color rgb="FF002060"/>
      <name val="TimesNewRomanPSMT"/>
      <family val="2"/>
    </font>
    <font>
      <b/>
      <sz val="13.5"/>
      <color theme="1"/>
      <name val="TimesNewRomanPSM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9" fontId="0" fillId="0" borderId="0" xfId="0" applyNumberFormat="1"/>
    <xf numFmtId="10" fontId="0" fillId="0" borderId="0" xfId="0" applyNumberFormat="1"/>
    <xf numFmtId="0" fontId="1" fillId="0" borderId="0" xfId="0" applyFont="1"/>
    <xf numFmtId="0" fontId="2" fillId="0" borderId="0" xfId="0" applyFont="1"/>
    <xf numFmtId="15" fontId="1" fillId="0" borderId="0" xfId="0" applyNumberFormat="1" applyFont="1"/>
    <xf numFmtId="6" fontId="0" fillId="0" borderId="0" xfId="0" applyNumberFormat="1"/>
    <xf numFmtId="0" fontId="3" fillId="0" borderId="0" xfId="0" applyFont="1"/>
    <xf numFmtId="10" fontId="3" fillId="0" borderId="0" xfId="0" applyNumberFormat="1" applyFont="1"/>
    <xf numFmtId="0" fontId="4" fillId="0" borderId="0" xfId="0" applyFont="1"/>
    <xf numFmtId="0" fontId="3" fillId="2" borderId="0" xfId="0" applyFont="1" applyFill="1"/>
  </cellXfs>
  <cellStyles count="1">
    <cellStyle name="Normal" xfId="0" builtinId="0"/>
  </cellStyles>
  <dxfs count="25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NewRomanPSMT"/>
        <family val="2"/>
        <scheme val="none"/>
      </font>
    </dxf>
    <dxf>
      <numFmt numFmtId="13" formatCode="0%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4</xdr:col>
      <xdr:colOff>0</xdr:colOff>
      <xdr:row>14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1E01F8F-0CDC-4AFB-83B5-B5FFE825A41A}"/>
            </a:ext>
          </a:extLst>
        </xdr:cNvPr>
        <xdr:cNvSpPr txBox="1"/>
      </xdr:nvSpPr>
      <xdr:spPr>
        <a:xfrm>
          <a:off x="0" y="381000"/>
          <a:ext cx="3181350" cy="236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 i="0">
              <a:latin typeface="Times New Roman" panose="02020603050405020304" pitchFamily="18" charset="0"/>
              <a:cs typeface="Times New Roman" panose="02020603050405020304" pitchFamily="18" charset="0"/>
            </a:rPr>
            <a:t>Premium Gaming IP Portfolio</a:t>
          </a:r>
        </a:p>
        <a:p>
          <a:pPr marL="0" indent="0" algn="l"/>
          <a:endParaRPr lang="en-US" sz="1200" b="0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 b="0" i="0">
              <a:latin typeface="Times New Roman" panose="02020603050405020304" pitchFamily="18" charset="0"/>
              <a:cs typeface="Times New Roman" panose="02020603050405020304" pitchFamily="18" charset="0"/>
            </a:rPr>
            <a:t>Globally recognized franchises (Call of Duty, World of Warcraft, Diablo, Candy Crush)</a:t>
          </a:r>
        </a:p>
        <a:p>
          <a:pPr marL="0" indent="0" algn="l"/>
          <a:endParaRPr lang="en-US" sz="1200" b="0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 b="0" i="0">
              <a:latin typeface="Times New Roman" panose="02020603050405020304" pitchFamily="18" charset="0"/>
              <a:cs typeface="Times New Roman" panose="02020603050405020304" pitchFamily="18" charset="0"/>
            </a:rPr>
            <a:t>Long-duration monetization and annualized release cycles</a:t>
          </a:r>
        </a:p>
        <a:p>
          <a:pPr marL="0" indent="0" algn="l"/>
          <a:endParaRPr lang="en-US" sz="1200" b="0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 b="0" i="0">
              <a:latin typeface="Times New Roman" panose="02020603050405020304" pitchFamily="18" charset="0"/>
              <a:cs typeface="Times New Roman" panose="02020603050405020304" pitchFamily="18" charset="0"/>
            </a:rPr>
            <a:t>Multi-platform optionality across console, PC, and mobile</a:t>
          </a:r>
        </a:p>
      </xdr:txBody>
    </xdr:sp>
    <xdr:clientData/>
  </xdr:twoCellAnchor>
  <xdr:twoCellAnchor>
    <xdr:from>
      <xdr:col>5</xdr:col>
      <xdr:colOff>0</xdr:colOff>
      <xdr:row>2</xdr:row>
      <xdr:rowOff>0</xdr:rowOff>
    </xdr:from>
    <xdr:to>
      <xdr:col>9</xdr:col>
      <xdr:colOff>133350</xdr:colOff>
      <xdr:row>14</xdr:row>
      <xdr:rowOff>76200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EAD9E41-57A9-4985-8382-54771472394E}"/>
            </a:ext>
            <a:ext uri="{147F2762-F138-4A5C-976F-8EAC2B608ADB}">
              <a16:predDERef xmlns:a16="http://schemas.microsoft.com/office/drawing/2014/main" pred="{11E01F8F-0CDC-4AFB-83B5-B5FFE825A41A}"/>
            </a:ext>
          </a:extLst>
        </xdr:cNvPr>
        <xdr:cNvSpPr txBox="1"/>
      </xdr:nvSpPr>
      <xdr:spPr>
        <a:xfrm>
          <a:off x="3943350" y="381000"/>
          <a:ext cx="3181350" cy="236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 i="0">
              <a:latin typeface="Times New Roman" panose="02020603050405020304" pitchFamily="18" charset="0"/>
              <a:cs typeface="Times New Roman" panose="02020603050405020304" pitchFamily="18" charset="0"/>
            </a:rPr>
            <a:t>Acceleration of Xbox Game Pass Ecosystem</a:t>
          </a:r>
        </a:p>
        <a:p>
          <a:pPr marL="0" indent="0" algn="l"/>
          <a:endParaRPr lang="en-US" sz="1200" b="0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 b="0" i="0">
              <a:latin typeface="Times New Roman" panose="02020603050405020304" pitchFamily="18" charset="0"/>
              <a:cs typeface="Times New Roman" panose="02020603050405020304" pitchFamily="18" charset="0"/>
            </a:rPr>
            <a:t>Strengthens Game Pass value proposition and subscriber retention</a:t>
          </a:r>
        </a:p>
        <a:p>
          <a:pPr marL="0" indent="0" algn="l"/>
          <a:endParaRPr lang="en-US" sz="1200" b="0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 b="0" i="0">
              <a:latin typeface="Times New Roman" panose="02020603050405020304" pitchFamily="18" charset="0"/>
              <a:cs typeface="Times New Roman" panose="02020603050405020304" pitchFamily="18" charset="0"/>
            </a:rPr>
            <a:t>Supports transition from transactional game sales to recurring subscription economics</a:t>
          </a:r>
        </a:p>
        <a:p>
          <a:pPr marL="0" indent="0" algn="l"/>
          <a:endParaRPr lang="en-US" sz="1200" b="0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 b="0" i="0">
              <a:latin typeface="Times New Roman" panose="02020603050405020304" pitchFamily="18" charset="0"/>
              <a:cs typeface="Times New Roman" panose="02020603050405020304" pitchFamily="18" charset="0"/>
            </a:rPr>
            <a:t>Increases engagement and lifetime value per user</a:t>
          </a:r>
        </a:p>
      </xdr:txBody>
    </xdr:sp>
    <xdr:clientData/>
  </xdr:twoCellAnchor>
  <xdr:twoCellAnchor>
    <xdr:from>
      <xdr:col>0</xdr:col>
      <xdr:colOff>0</xdr:colOff>
      <xdr:row>16</xdr:row>
      <xdr:rowOff>0</xdr:rowOff>
    </xdr:from>
    <xdr:to>
      <xdr:col>4</xdr:col>
      <xdr:colOff>0</xdr:colOff>
      <xdr:row>28</xdr:row>
      <xdr:rowOff>76200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34E9441-838B-4829-AD84-60982AD40011}"/>
            </a:ext>
            <a:ext uri="{147F2762-F138-4A5C-976F-8EAC2B608ADB}">
              <a16:predDERef xmlns:a16="http://schemas.microsoft.com/office/drawing/2014/main" pred="{9EAD9E41-57A9-4985-8382-54771472394E}"/>
            </a:ext>
          </a:extLst>
        </xdr:cNvPr>
        <xdr:cNvSpPr txBox="1"/>
      </xdr:nvSpPr>
      <xdr:spPr>
        <a:xfrm>
          <a:off x="0" y="3048000"/>
          <a:ext cx="3181350" cy="236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 i="0">
              <a:latin typeface="Times New Roman" panose="02020603050405020304" pitchFamily="18" charset="0"/>
              <a:cs typeface="Times New Roman" panose="02020603050405020304" pitchFamily="18" charset="0"/>
            </a:rPr>
            <a:t>Platform &amp; Distribution Scale</a:t>
          </a:r>
        </a:p>
        <a:p>
          <a:pPr marL="0" indent="0" algn="l"/>
          <a:endParaRPr lang="en-US" sz="1200" b="0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 b="0" i="0">
              <a:latin typeface="Times New Roman" panose="02020603050405020304" pitchFamily="18" charset="0"/>
              <a:cs typeface="Times New Roman" panose="02020603050405020304" pitchFamily="18" charset="0"/>
            </a:rPr>
            <a:t>Broader distribution across Xbox, PC, cloud, and mobile</a:t>
          </a:r>
        </a:p>
        <a:p>
          <a:pPr marL="0" indent="0" algn="l"/>
          <a:endParaRPr lang="en-US" sz="1200" b="0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 b="0" i="0">
              <a:latin typeface="Times New Roman" panose="02020603050405020304" pitchFamily="18" charset="0"/>
              <a:cs typeface="Times New Roman" panose="02020603050405020304" pitchFamily="18" charset="0"/>
            </a:rPr>
            <a:t>Backend scalability through Azure infrastructure</a:t>
          </a:r>
        </a:p>
        <a:p>
          <a:pPr marL="0" indent="0" algn="l"/>
          <a:endParaRPr lang="en-US" sz="1200" b="0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 b="0" i="0">
              <a:latin typeface="Times New Roman" panose="02020603050405020304" pitchFamily="18" charset="0"/>
              <a:cs typeface="Times New Roman" panose="02020603050405020304" pitchFamily="18" charset="0"/>
            </a:rPr>
            <a:t>Live-service performance and content delivery enhancements</a:t>
          </a:r>
        </a:p>
      </xdr:txBody>
    </xdr:sp>
    <xdr:clientData/>
  </xdr:twoCellAnchor>
  <xdr:twoCellAnchor>
    <xdr:from>
      <xdr:col>5</xdr:col>
      <xdr:colOff>0</xdr:colOff>
      <xdr:row>16</xdr:row>
      <xdr:rowOff>0</xdr:rowOff>
    </xdr:from>
    <xdr:to>
      <xdr:col>9</xdr:col>
      <xdr:colOff>133350</xdr:colOff>
      <xdr:row>28</xdr:row>
      <xdr:rowOff>76200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3E2CD7-84C8-4EBA-95CA-9797D2238778}"/>
            </a:ext>
            <a:ext uri="{147F2762-F138-4A5C-976F-8EAC2B608ADB}">
              <a16:predDERef xmlns:a16="http://schemas.microsoft.com/office/drawing/2014/main" pred="{A34E9441-838B-4829-AD84-60982AD40011}"/>
            </a:ext>
          </a:extLst>
        </xdr:cNvPr>
        <xdr:cNvSpPr txBox="1"/>
      </xdr:nvSpPr>
      <xdr:spPr>
        <a:xfrm>
          <a:off x="3943350" y="3048000"/>
          <a:ext cx="3181350" cy="236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200" b="1" i="0">
              <a:latin typeface="Times New Roman" panose="02020603050405020304" pitchFamily="18" charset="0"/>
              <a:cs typeface="Times New Roman" panose="02020603050405020304" pitchFamily="18" charset="0"/>
            </a:rPr>
            <a:t>Long-Term Strategic Optionality</a:t>
          </a:r>
        </a:p>
        <a:p>
          <a:pPr marL="0" indent="0" algn="l"/>
          <a:endParaRPr lang="en-US" sz="1200" b="0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 b="0" i="0">
              <a:latin typeface="Times New Roman" panose="02020603050405020304" pitchFamily="18" charset="0"/>
              <a:cs typeface="Times New Roman" panose="02020603050405020304" pitchFamily="18" charset="0"/>
            </a:rPr>
            <a:t>Expanded presence in mobile gaming via King</a:t>
          </a:r>
        </a:p>
        <a:p>
          <a:pPr marL="0" indent="0" algn="l"/>
          <a:endParaRPr lang="en-US" sz="1200" b="0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 b="0" i="0">
              <a:latin typeface="Times New Roman" panose="02020603050405020304" pitchFamily="18" charset="0"/>
              <a:cs typeface="Times New Roman" panose="02020603050405020304" pitchFamily="18" charset="0"/>
            </a:rPr>
            <a:t>Cloud gaming and future immersive formats</a:t>
          </a:r>
        </a:p>
        <a:p>
          <a:pPr marL="0" indent="0" algn="l"/>
          <a:endParaRPr lang="en-US" sz="1200" b="0" i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indent="0" algn="l"/>
          <a:r>
            <a:rPr lang="en-US" sz="1200" b="0" i="0">
              <a:latin typeface="Times New Roman" panose="02020603050405020304" pitchFamily="18" charset="0"/>
              <a:cs typeface="Times New Roman" panose="02020603050405020304" pitchFamily="18" charset="0"/>
            </a:rPr>
            <a:t>Difficult-to-quantify upside beyond near-term financial metrics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BF41D4-D8A0-4B93-898F-65C11C7FFB2E}" name="Table1" displayName="Table1" ref="A4:B12" totalsRowShown="0" dataDxfId="24">
  <autoFilter ref="A4:B12" xr:uid="{FBBF41D4-D8A0-4B93-898F-65C11C7FFB2E}"/>
  <tableColumns count="2">
    <tableColumn id="1" xr3:uid="{716CA9F3-66AF-43A6-A88E-062F2DF0629B}" name="Item" dataDxfId="23"/>
    <tableColumn id="2" xr3:uid="{B9D404D2-3767-48B6-9CF7-45F1EFF4DCE9}" name="Detail" dataDxfId="2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58631BA-7F17-408C-87FA-A401240204D3}" name="Table8" displayName="Table8" ref="A16:B19" totalsRowShown="0">
  <autoFilter ref="A16:B19" xr:uid="{B58631BA-7F17-408C-87FA-A401240204D3}"/>
  <tableColumns count="2">
    <tableColumn id="1" xr3:uid="{878B222E-9618-40ED-8F7F-83298CD51E9A}" name="Metric"/>
    <tableColumn id="2" xr3:uid="{45678FB3-7BE2-49AD-9516-E9A1F21F62A0}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6E14F45-87E1-480A-BFE2-0C5CA9317525}" name="Table9" displayName="Table9" ref="D16:E20" totalsRowShown="0" dataDxfId="21">
  <autoFilter ref="D16:E20" xr:uid="{C6E14F45-87E1-480A-BFE2-0C5CA9317525}"/>
  <tableColumns count="2">
    <tableColumn id="1" xr3:uid="{AC251BC4-55B3-4C12-A757-CB8608EDD266}" name="Metric" dataDxfId="20"/>
    <tableColumn id="2" xr3:uid="{ED59C613-50E2-489A-B562-360E09FA2435}" name="Value" dataDxf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71874B6-9DF0-420F-9C7F-E977D044BF28}" name="Table10" displayName="Table10" ref="A22:B25" totalsRowShown="0">
  <autoFilter ref="A22:B25" xr:uid="{E71874B6-9DF0-420F-9C7F-E977D044BF28}"/>
  <tableColumns count="2">
    <tableColumn id="1" xr3:uid="{E3A6DB13-E350-48E6-96B8-70DFB4279244}" name="Uses ($bn)"/>
    <tableColumn id="2" xr3:uid="{6DCF3813-FC6D-433B-B346-FFAD22C7192F}" name="Am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5740A48-EB9B-444D-9C38-2A3900192797}" name="Table11" displayName="Table11" ref="D22:E25" totalsRowShown="0">
  <autoFilter ref="D22:E25" xr:uid="{05740A48-EB9B-444D-9C38-2A3900192797}"/>
  <tableColumns count="2">
    <tableColumn id="1" xr3:uid="{2D6D06C5-9B2F-48A3-9B45-FE0FCCF9EC5D}" name="Sources ($bn)"/>
    <tableColumn id="2" xr3:uid="{9A39009A-FE67-4CCC-A5EE-3C96757C4CCC}" name="Am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3464161-CE8B-4148-B1AD-6B6D1CFA1728}" name="Table12" displayName="Table12" ref="A32:B37" totalsRowShown="0">
  <autoFilter ref="A32:B37" xr:uid="{33464161-CE8B-4148-B1AD-6B6D1CFA1728}"/>
  <tableColumns count="2">
    <tableColumn id="1" xr3:uid="{E3AE8CB9-8E18-4BA9-ACFE-165BCE3DBF8C}" name="Metric"/>
    <tableColumn id="2" xr3:uid="{7308B7E3-491D-4761-AFC2-C13495105792}" name="Impac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B772715-A80E-4A05-9596-1409213C7066}" name="Table13" displayName="Table13" ref="D32:E36" totalsRowShown="0">
  <autoFilter ref="D32:E36" xr:uid="{CB772715-A80E-4A05-9596-1409213C7066}"/>
  <tableColumns count="2">
    <tableColumn id="1" xr3:uid="{4765CBB2-67D0-4E49-B6A8-39AFC6B0BFFD}" name="Area"/>
    <tableColumn id="2" xr3:uid="{AA657A40-3DDC-4ADC-A051-F91592B0B07C}" name="Commenta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26E6804-B6B1-4962-8B30-488EABEB7EE6}" name="Table14" displayName="Table14" ref="L9:M13" totalsRowShown="0">
  <autoFilter ref="L9:M13" xr:uid="{C26E6804-B6B1-4962-8B30-488EABEB7EE6}"/>
  <tableColumns count="2">
    <tableColumn id="1" xr3:uid="{7454AAF8-04AD-4D67-904B-01A6ADBC8A10}" name="Driver"/>
    <tableColumn id="2" xr3:uid="{3D31F55E-DC33-43B9-94FC-B09C075407E2}" name="Impac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3CE8D8D0-519E-47F8-A734-AAC81D1572A2}" name="Table15" displayName="Table15" ref="A4:B7" totalsRowShown="0">
  <autoFilter ref="A4:B7" xr:uid="{3CE8D8D0-519E-47F8-A734-AAC81D1572A2}"/>
  <tableColumns count="2">
    <tableColumn id="1" xr3:uid="{BEB77B84-73FE-4BFA-B85D-CCDDE40FFBC5}" name="USD (bn)"/>
    <tableColumn id="2" xr3:uid="{D98149B6-170B-41A9-AD64-74770738DA59}" name="Amou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8139706-2204-46ED-8468-173A72D0A24D}" name="Table16" displayName="Table16" ref="D4:E7" totalsRowShown="0">
  <autoFilter ref="D4:E7" xr:uid="{D8139706-2204-46ED-8468-173A72D0A24D}"/>
  <tableColumns count="2">
    <tableColumn id="1" xr3:uid="{24BF10A0-28C3-457B-A3F3-C67D52315D42}" name="USD (bn)"/>
    <tableColumn id="2" xr3:uid="{D499DA7A-8E3D-4DD5-AE34-A82FDE1123C7}" name="Amou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FE8308C-0819-4BCD-90F6-14FC0C33E720}" name="Table17" displayName="Table17" ref="A12:C16" totalsRowShown="0" dataDxfId="18">
  <autoFilter ref="A12:C16" xr:uid="{7FE8308C-0819-4BCD-90F6-14FC0C33E720}"/>
  <tableColumns count="3">
    <tableColumn id="1" xr3:uid="{B5ACD5BE-28FA-4B83-A0DC-D85B45601E44}" name="Metric" dataDxfId="17"/>
    <tableColumn id="2" xr3:uid="{5ECEC0EA-2DA0-4171-BDD7-20EACE3C0F82}" name="Pre-Deal" dataDxfId="16"/>
    <tableColumn id="3" xr3:uid="{1C0EDF44-FDDF-43DE-A59A-AD35AE998EB4}" name="Post-Deal" dataDxfId="1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F113AB0-D24B-4DEF-BB7F-2DD94B1BEF27}" name="Table18" displayName="Table18" ref="E13:F15" totalsRowShown="0">
  <autoFilter ref="E13:F15" xr:uid="{EF113AB0-D24B-4DEF-BB7F-2DD94B1BEF27}"/>
  <tableColumns count="2">
    <tableColumn id="1" xr3:uid="{68DA67FC-A94B-44AA-B651-50A08D2A767A}" name="Metric"/>
    <tableColumn id="2" xr3:uid="{0B39889B-23F5-4B00-B66C-DC718DBEC2A0}" name="Values" dataDxfId="1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C72AF525-C845-42DF-9B90-975533643BB6}" name="Table19" displayName="Table19" ref="A9:C18" totalsRowShown="0">
  <autoFilter ref="A9:C18" xr:uid="{C72AF525-C845-42DF-9B90-975533643BB6}"/>
  <tableColumns count="3">
    <tableColumn id="1" xr3:uid="{43DFF706-F436-4FC7-A827-773B3BD60245}" name="USD (bn)"/>
    <tableColumn id="2" xr3:uid="{36DDBC5F-2877-477A-BD79-EDC76847C50B}" name="Microsoft"/>
    <tableColumn id="3" xr3:uid="{EA09CF3D-A8BB-49F4-BEE5-3DDBF0E96CC9}" name="Activision Blizzard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F0101E85-C35D-4A64-8682-AE40946FCBB9}" name="Table20" displayName="Table20" ref="A22:C24" totalsRowShown="0" headerRowDxfId="13">
  <autoFilter ref="A22:C24" xr:uid="{F0101E85-C35D-4A64-8682-AE40946FCBB9}"/>
  <tableColumns count="3">
    <tableColumn id="1" xr3:uid="{D501E99D-11E1-4D7D-8D2B-567D9AD648CE}" name="Metric"/>
    <tableColumn id="2" xr3:uid="{F8D9972B-C298-490F-B0AA-4D1DF2C1AE10}" name="Microsoft" dataDxfId="12"/>
    <tableColumn id="3" xr3:uid="{26D0340B-4B2E-4E86-889E-CA8B54FAD889}" name="Activision Blizzard" dataDxfId="1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2B07844-0494-4C31-B8E1-E1B4D7245DA1}" name="Table21" displayName="Table21" ref="A28:C31" totalsRowShown="0">
  <autoFilter ref="A28:C31" xr:uid="{E2B07844-0494-4C31-B8E1-E1B4D7245DA1}"/>
  <tableColumns count="3">
    <tableColumn id="1" xr3:uid="{6E445DD8-1E4F-4B07-A71C-04D7B61C689A}" name="USD (bn)"/>
    <tableColumn id="2" xr3:uid="{7E0622D7-FC59-46DB-B508-2A0486BF597D}" name="Microsoft"/>
    <tableColumn id="3" xr3:uid="{39499BC5-CCB0-43FA-8BD4-99DC08E35F55}" name="Activision Blizzard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7016130-4CEF-488E-ABA6-1FA0CE9EBD82}" name="Table22" displayName="Table22" ref="A4:B7" totalsRowShown="0">
  <autoFilter ref="A4:B7" xr:uid="{A7016130-4CEF-488E-ABA6-1FA0CE9EBD82}"/>
  <tableColumns count="2">
    <tableColumn id="1" xr3:uid="{35F04D19-587E-40DE-A7FF-9CB590471635}" name="USD (bn)"/>
    <tableColumn id="2" xr3:uid="{BA5CFCA7-B0A5-45A1-8E25-4084DA92C145}" name="Amoun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ED33363-45C0-48D9-A12C-90E8E0A0BD4D}" name="Table23" displayName="Table23" ref="A11:B14" totalsRowShown="0">
  <autoFilter ref="A11:B14" xr:uid="{FED33363-45C0-48D9-A12C-90E8E0A0BD4D}"/>
  <tableColumns count="2">
    <tableColumn id="1" xr3:uid="{FA33B102-2104-46C2-A2AF-03274E9AA5F5}" name="USD (bn)"/>
    <tableColumn id="2" xr3:uid="{4E83671B-ACFD-4DE6-BBF9-8AACF10C66DC}" name="Amoun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BFCCBF1-60DF-4183-840C-29D18CC0173C}" name="Table24" displayName="Table24" ref="D11:E14" totalsRowShown="0">
  <autoFilter ref="D11:E14" xr:uid="{EBFCCBF1-60DF-4183-840C-29D18CC0173C}"/>
  <tableColumns count="2">
    <tableColumn id="1" xr3:uid="{6A48592C-392A-4AC1-B066-36A4D921F6BE}" name="USD (bn)"/>
    <tableColumn id="2" xr3:uid="{B6775411-2C0A-4CE3-8891-FA523AA6DE0F}" name="Amoun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C4128E4-B699-4ECB-BDF9-C891C905926D}" name="Table25" displayName="Table25" ref="A18:C22" totalsRowShown="0" headerRowDxfId="10">
  <autoFilter ref="A18:C22" xr:uid="{FC4128E4-B699-4ECB-BDF9-C891C905926D}"/>
  <tableColumns count="3">
    <tableColumn id="1" xr3:uid="{BE5D0AA6-B6F5-411E-BFB9-697F426829B3}" name="Asset Class"/>
    <tableColumn id="2" xr3:uid="{1741A5F2-0BDB-457A-B698-724CE9C683D5}" name="Value ($bn)" dataDxfId="9"/>
    <tableColumn id="3" xr3:uid="{F06F4E8C-8A46-4F2D-A04E-92F3069FBABF}" name="Useful Lif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5275E13-648D-4C8B-ADE3-EE3BFCD845D6}" name="Table26" displayName="Table26" ref="E18:H22" totalsRowShown="0">
  <autoFilter ref="E18:H22" xr:uid="{C5275E13-648D-4C8B-ADE3-EE3BFCD845D6}"/>
  <tableColumns count="4">
    <tableColumn id="1" xr3:uid="{4D8856C4-4133-478D-9E70-049332DC8E72}" name="Asset"/>
    <tableColumn id="2" xr3:uid="{CD850467-6433-4D43-8D6F-E9672D7CDF8B}" name="Value"/>
    <tableColumn id="3" xr3:uid="{AA77F1FF-A12D-458E-8DF0-6DE75A5D2025}" name="Life"/>
    <tableColumn id="4" xr3:uid="{DC2264EF-D2B7-4104-87A4-E3FE0C3680C6}" name="Annual Amortization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65ED8F5-ECD8-4996-BE91-5542AA5E3593}" name="Table27" displayName="Table27" ref="A26:B29" totalsRowShown="0">
  <autoFilter ref="A26:B29" xr:uid="{365ED8F5-ECD8-4996-BE91-5542AA5E3593}"/>
  <tableColumns count="2">
    <tableColumn id="1" xr3:uid="{72486A9B-CD13-4471-AFF4-39875BD3ACF2}" name="USD (bn)"/>
    <tableColumn id="2" xr3:uid="{BFD96549-C269-4095-80FC-C5EF804FC20C}" name="Amount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0310C3A-18DF-494D-9B21-342DC9609107}" name="Table28" displayName="Table28" ref="A5:E14" totalsRowShown="0">
  <autoFilter ref="A5:E14" xr:uid="{60310C3A-18DF-494D-9B21-342DC9609107}"/>
  <tableColumns count="5">
    <tableColumn id="1" xr3:uid="{E21FCC1C-2D6F-40D1-BDE6-D752C5810BC0}" name="USD (bn)"/>
    <tableColumn id="2" xr3:uid="{2B559779-9DEE-492B-BD92-CA995C722719}" name="MSFT"/>
    <tableColumn id="3" xr3:uid="{985A9767-DEF9-445B-812A-7173D816D537}" name="ATVI"/>
    <tableColumn id="4" xr3:uid="{FCA4E162-C552-4F76-AA0E-79D1A563B918}" name="Adjustments"/>
    <tableColumn id="5" xr3:uid="{C9F6CCFB-F800-463B-881A-C4319202851F}" name="Pro-Forma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816E81E-97E0-47F2-ABDC-2218BE7610D3}" name="Table29" displayName="Table29" ref="A3:D7" totalsRowShown="0" headerRowDxfId="8">
  <autoFilter ref="A3:D7" xr:uid="{9816E81E-97E0-47F2-ABDC-2218BE7610D3}"/>
  <tableColumns count="4">
    <tableColumn id="1" xr3:uid="{C53E04D2-C533-430E-ADFD-C4E8F9350EED}" name="USD (bn)"/>
    <tableColumn id="2" xr3:uid="{BB4AE029-34A2-48A4-84F1-EDD16AC18399}" name="Standalone MSFT" dataDxfId="7"/>
    <tableColumn id="3" xr3:uid="{C0804D1F-2892-42D8-855A-EE9F3BB80908}" name="Pro-Forma" dataDxfId="6"/>
    <tableColumn id="4" xr3:uid="{B2FA76D3-B905-45CA-8C56-B865A4397067}" name="Chang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B2A28F1-B4AF-4C48-8A16-847D708D3CAA}" name="Table30" displayName="Table30" ref="A13:B18" totalsRowShown="0">
  <autoFilter ref="A13:B18" xr:uid="{0B2A28F1-B4AF-4C48-8A16-847D708D3CAA}"/>
  <tableColumns count="2">
    <tableColumn id="1" xr3:uid="{B8881324-E297-479A-84E8-BA0EAEC91848}" name="Driver"/>
    <tableColumn id="2" xr3:uid="{0F404BA0-9C92-4D68-92BA-764966F48B0A}" name="EPS Impact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FC3C648-40E8-4378-AD67-494111274D7A}" name="Table31" displayName="Table31" ref="B4:D8" totalsRowShown="0">
  <autoFilter ref="B4:D8" xr:uid="{5FC3C648-40E8-4378-AD67-494111274D7A}"/>
  <tableColumns count="3">
    <tableColumn id="1" xr3:uid="{A8EBB4B2-012C-45E0-90A6-35E0428CCDB0}" name="% Debt" dataDxfId="5"/>
    <tableColumn id="2" xr3:uid="{CF57EF0B-B542-451D-8EEF-B7E7F9528F90}" name="% Cash" dataDxfId="4"/>
    <tableColumn id="3" xr3:uid="{0DD761A4-4E75-423B-8548-AA2F643C7625}" name="EPS Impact" dataDxfId="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E5F0C048-455B-47DD-8A33-E9C64CCA94AE}" name="Table32" displayName="Table32" ref="B14:C17" totalsRowShown="0">
  <autoFilter ref="B14:C17" xr:uid="{E5F0C048-455B-47DD-8A33-E9C64CCA94AE}"/>
  <tableColumns count="2">
    <tableColumn id="1" xr3:uid="{A7FE735D-9D29-4DD9-A28C-19A6D518AB9C}" name="Interest Rate" dataDxfId="2"/>
    <tableColumn id="2" xr3:uid="{91E18130-01D1-4F5E-BFB1-0002AA289089}" name="EPS Impac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BB0EA2F-41A7-4983-8754-EE11DBE3359E}" name="Table33" displayName="Table33" ref="B23:C26" totalsRowShown="0">
  <autoFilter ref="B23:C26" xr:uid="{3BB0EA2F-41A7-4983-8754-EE11DBE3359E}"/>
  <tableColumns count="2">
    <tableColumn id="1" xr3:uid="{8A7F4DC9-A3F7-47DE-A1DA-07A5AF46848B}" name="Annual Amortization"/>
    <tableColumn id="2" xr3:uid="{F3D72DEA-5BD2-4C37-ABD0-8A3D0256E600}" name="EPS Impact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27BEC26-1F6C-4878-92A5-806FCC465D89}" name="Table34" displayName="Table34" ref="A4:F8" totalsRowShown="0">
  <autoFilter ref="A4:F8" xr:uid="{027BEC26-1F6C-4878-92A5-806FCC465D89}"/>
  <tableColumns count="6">
    <tableColumn id="1" xr3:uid="{391C52BB-8B1A-47D9-8F7A-104DF167B109}" name="Company"/>
    <tableColumn id="2" xr3:uid="{60BE4B77-BB08-4480-BF80-1D65336CCCB8}" name="EV ($bn)"/>
    <tableColumn id="3" xr3:uid="{C1B63C79-78D4-4657-AC64-3CF984F165A3}" name="Revenue ($bn)"/>
    <tableColumn id="4" xr3:uid="{A7807442-6339-480F-B437-8A967E08F8CD}" name="EBITDA ($bn)"/>
    <tableColumn id="5" xr3:uid="{7512018A-5644-46D4-BDF6-8D255B760CC8}" name="EV / Revenue"/>
    <tableColumn id="6" xr3:uid="{D890C981-9F97-4BF4-82C6-1CD2A7F6AC0E}" name="EV / EBITDA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2C794C0F-B623-4101-9B8E-C771A4D314DB}" name="Table35" displayName="Table35" ref="A12:B17" totalsRowShown="0">
  <autoFilter ref="A12:B17" xr:uid="{2C794C0F-B623-4101-9B8E-C771A4D314DB}"/>
  <tableColumns count="2">
    <tableColumn id="1" xr3:uid="{6E7890FB-D351-42C6-A4D7-4F152B78CEC2}" name="Metric"/>
    <tableColumn id="2" xr3:uid="{EB97E115-FE30-4120-8BCF-C055A31489CB}" name="Value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DB28A8E0-33C9-4A58-8942-A79A0E3683D5}" name="Table36" displayName="Table36" ref="A4:B9" totalsRowShown="0">
  <autoFilter ref="A4:B9" xr:uid="{DB28A8E0-33C9-4A58-8942-A79A0E3683D5}"/>
  <tableColumns count="2">
    <tableColumn id="1" xr3:uid="{CFA9BEF9-AF7B-4635-86D4-35598038DC71}" name="Assumption"/>
    <tableColumn id="2" xr3:uid="{13D7C2C4-4ABA-4FF5-98F2-722C4576C27D}" name="Value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B82D7323-16D5-4EE2-97BC-309A735FEC7D}" name="Table37" displayName="Table37" ref="A13:B18" totalsRowShown="0">
  <autoFilter ref="A13:B18" xr:uid="{B82D7323-16D5-4EE2-97BC-309A735FEC7D}"/>
  <tableColumns count="2">
    <tableColumn id="1" xr3:uid="{FE9AAD9C-8C7A-4269-9546-ACA96A5DAD8F}" name="Metric"/>
    <tableColumn id="2" xr3:uid="{777E5776-5A50-4A1F-A003-1E54A672130A}" name="Value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80D60E8-C073-4B4B-8243-CD6EE39F2F53}" name="Table38" displayName="Table38" ref="A22:D25" totalsRowShown="0" headerRowDxfId="1">
  <autoFilter ref="A22:D25" xr:uid="{080D60E8-C073-4B4B-8243-CD6EE39F2F53}"/>
  <tableColumns count="4">
    <tableColumn id="1" xr3:uid="{59684654-167C-432A-909F-B612C1894040}" name="WACC \ g" dataDxfId="0"/>
    <tableColumn id="2" xr3:uid="{594467F7-3ED0-48A8-8A73-729CCFA05EA1}" name="1.50%"/>
    <tableColumn id="3" xr3:uid="{62F192EF-07EB-4B08-A0CD-77832687D352}" name="2.00%"/>
    <tableColumn id="4" xr3:uid="{FCC8DAA1-3CCB-4435-AA13-3B6694F857A1}" name="2.50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6" Type="http://schemas.openxmlformats.org/officeDocument/2006/relationships/table" Target="../tables/table21.xml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table" Target="../tables/table28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2" Type="http://schemas.openxmlformats.org/officeDocument/2006/relationships/table" Target="../tables/table31.xml"/><Relationship Id="rId1" Type="http://schemas.openxmlformats.org/officeDocument/2006/relationships/table" Target="../tables/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0899-FEEE-4C20-9FDB-FC85EC548249}">
  <dimension ref="A4:E39"/>
  <sheetViews>
    <sheetView tabSelected="1" workbookViewId="0">
      <selection activeCell="A40" sqref="A40"/>
    </sheetView>
  </sheetViews>
  <sheetFormatPr defaultRowHeight="15"/>
  <cols>
    <col min="1" max="1" width="29.33203125" customWidth="1"/>
    <col min="2" max="2" width="28" customWidth="1"/>
    <col min="4" max="4" width="26.21875" customWidth="1"/>
    <col min="5" max="5" width="41.88671875" customWidth="1"/>
  </cols>
  <sheetData>
    <row r="4" spans="1:5">
      <c r="A4" t="s">
        <v>0</v>
      </c>
      <c r="B4" t="s">
        <v>1</v>
      </c>
    </row>
    <row r="5" spans="1:5" ht="15.75">
      <c r="A5" s="3" t="s">
        <v>2</v>
      </c>
      <c r="B5" s="3" t="s">
        <v>3</v>
      </c>
    </row>
    <row r="6" spans="1:5" ht="15.75">
      <c r="A6" s="3" t="s">
        <v>4</v>
      </c>
      <c r="B6" s="3" t="s">
        <v>5</v>
      </c>
    </row>
    <row r="7" spans="1:5" ht="15.75">
      <c r="A7" s="3" t="s">
        <v>6</v>
      </c>
      <c r="B7" s="3" t="s">
        <v>7</v>
      </c>
    </row>
    <row r="8" spans="1:5" ht="15.75">
      <c r="A8" s="3" t="s">
        <v>8</v>
      </c>
      <c r="B8" s="5">
        <v>44579</v>
      </c>
    </row>
    <row r="9" spans="1:5" ht="15.75">
      <c r="A9" s="3" t="s">
        <v>9</v>
      </c>
      <c r="B9" s="5">
        <v>45212</v>
      </c>
    </row>
    <row r="10" spans="1:5" ht="15.75">
      <c r="A10" s="3" t="s">
        <v>10</v>
      </c>
      <c r="B10" s="3" t="s">
        <v>11</v>
      </c>
    </row>
    <row r="11" spans="1:5" ht="15.75">
      <c r="A11" s="3" t="s">
        <v>12</v>
      </c>
      <c r="B11" s="3" t="s">
        <v>13</v>
      </c>
    </row>
    <row r="12" spans="1:5" ht="15.75">
      <c r="A12" s="3" t="s">
        <v>14</v>
      </c>
      <c r="B12" s="3" t="s">
        <v>15</v>
      </c>
    </row>
    <row r="14" spans="1:5" ht="15.75">
      <c r="A14" s="3" t="s">
        <v>16</v>
      </c>
      <c r="D14" s="3" t="s">
        <v>17</v>
      </c>
    </row>
    <row r="16" spans="1:5">
      <c r="A16" t="s">
        <v>18</v>
      </c>
      <c r="B16" t="s">
        <v>19</v>
      </c>
      <c r="D16" t="s">
        <v>18</v>
      </c>
      <c r="E16" t="s">
        <v>19</v>
      </c>
    </row>
    <row r="17" spans="1:5" ht="15.75">
      <c r="A17" t="s">
        <v>20</v>
      </c>
      <c r="B17" s="6">
        <v>65</v>
      </c>
      <c r="D17" s="3" t="s">
        <v>21</v>
      </c>
      <c r="E17" t="s">
        <v>22</v>
      </c>
    </row>
    <row r="18" spans="1:5" ht="15.75">
      <c r="A18" t="s">
        <v>23</v>
      </c>
      <c r="B18" s="6">
        <v>95</v>
      </c>
      <c r="D18" s="3" t="s">
        <v>24</v>
      </c>
      <c r="E18" t="s">
        <v>25</v>
      </c>
    </row>
    <row r="19" spans="1:5" ht="15.75">
      <c r="A19" t="s">
        <v>26</v>
      </c>
      <c r="B19" s="1">
        <v>0.46</v>
      </c>
      <c r="D19" s="3" t="s">
        <v>27</v>
      </c>
      <c r="E19" t="s">
        <v>28</v>
      </c>
    </row>
    <row r="20" spans="1:5" ht="15.75">
      <c r="D20" s="3" t="s">
        <v>29</v>
      </c>
      <c r="E20" t="s">
        <v>30</v>
      </c>
    </row>
    <row r="22" spans="1:5">
      <c r="A22" t="s">
        <v>31</v>
      </c>
      <c r="B22" t="s">
        <v>32</v>
      </c>
      <c r="D22" t="s">
        <v>33</v>
      </c>
      <c r="E22" t="s">
        <v>32</v>
      </c>
    </row>
    <row r="23" spans="1:5">
      <c r="A23" t="s">
        <v>34</v>
      </c>
      <c r="B23">
        <v>69</v>
      </c>
      <c r="D23" t="s">
        <v>35</v>
      </c>
      <c r="E23">
        <v>40</v>
      </c>
    </row>
    <row r="24" spans="1:5">
      <c r="D24" t="s">
        <v>36</v>
      </c>
      <c r="E24">
        <v>29</v>
      </c>
    </row>
    <row r="25" spans="1:5" ht="15.75">
      <c r="A25" t="s">
        <v>37</v>
      </c>
      <c r="B25">
        <v>69</v>
      </c>
      <c r="D25" t="s">
        <v>38</v>
      </c>
      <c r="E25" s="7">
        <v>69</v>
      </c>
    </row>
    <row r="28" spans="1:5" ht="15.75">
      <c r="A28" s="3" t="s">
        <v>39</v>
      </c>
    </row>
    <row r="29" spans="1:5" ht="15.75">
      <c r="A29" s="3" t="s">
        <v>40</v>
      </c>
    </row>
    <row r="31" spans="1:5" ht="15.75">
      <c r="A31" s="3" t="s">
        <v>41</v>
      </c>
      <c r="D31" s="3" t="s">
        <v>42</v>
      </c>
    </row>
    <row r="32" spans="1:5">
      <c r="A32" t="s">
        <v>18</v>
      </c>
      <c r="B32" t="s">
        <v>43</v>
      </c>
      <c r="D32" t="s">
        <v>44</v>
      </c>
      <c r="E32" t="s">
        <v>45</v>
      </c>
    </row>
    <row r="33" spans="1:5">
      <c r="A33" t="s">
        <v>46</v>
      </c>
      <c r="B33" t="s">
        <v>47</v>
      </c>
      <c r="D33" t="s">
        <v>48</v>
      </c>
      <c r="E33" t="s">
        <v>49</v>
      </c>
    </row>
    <row r="34" spans="1:5">
      <c r="A34" t="s">
        <v>50</v>
      </c>
      <c r="B34" t="s">
        <v>51</v>
      </c>
      <c r="D34" t="s">
        <v>52</v>
      </c>
      <c r="E34" t="s">
        <v>53</v>
      </c>
    </row>
    <row r="35" spans="1:5">
      <c r="A35" t="s">
        <v>54</v>
      </c>
      <c r="B35" t="s">
        <v>51</v>
      </c>
      <c r="D35" t="s">
        <v>55</v>
      </c>
      <c r="E35" t="s">
        <v>56</v>
      </c>
    </row>
    <row r="36" spans="1:5">
      <c r="A36" t="s">
        <v>57</v>
      </c>
      <c r="B36" t="s">
        <v>58</v>
      </c>
      <c r="D36" t="s">
        <v>59</v>
      </c>
      <c r="E36" t="s">
        <v>60</v>
      </c>
    </row>
    <row r="37" spans="1:5">
      <c r="A37" t="s">
        <v>61</v>
      </c>
      <c r="B37" t="s">
        <v>62</v>
      </c>
    </row>
    <row r="39" spans="1:5" ht="15.75">
      <c r="A39" s="3" t="s">
        <v>63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5FAFA-AE97-42BE-92E7-00ADAC721264}">
  <dimension ref="A1:M13"/>
  <sheetViews>
    <sheetView workbookViewId="0">
      <selection activeCell="L7" sqref="L7"/>
    </sheetView>
  </sheetViews>
  <sheetFormatPr defaultRowHeight="15"/>
  <cols>
    <col min="1" max="1" width="20.77734375" customWidth="1"/>
    <col min="2" max="2" width="9.5546875" customWidth="1"/>
    <col min="9" max="9" width="19" customWidth="1"/>
    <col min="12" max="12" width="19.21875" customWidth="1"/>
    <col min="13" max="13" width="17.6640625" customWidth="1"/>
  </cols>
  <sheetData>
    <row r="1" spans="1:13" ht="15.75">
      <c r="A1" s="3" t="s">
        <v>64</v>
      </c>
    </row>
    <row r="7" spans="1:13" ht="15.75">
      <c r="L7" s="3" t="s">
        <v>65</v>
      </c>
    </row>
    <row r="9" spans="1:13">
      <c r="L9" t="s">
        <v>66</v>
      </c>
      <c r="M9" t="s">
        <v>43</v>
      </c>
    </row>
    <row r="10" spans="1:13">
      <c r="L10" t="s">
        <v>67</v>
      </c>
      <c r="M10" t="s">
        <v>68</v>
      </c>
    </row>
    <row r="11" spans="1:13">
      <c r="L11" t="s">
        <v>69</v>
      </c>
      <c r="M11" t="s">
        <v>68</v>
      </c>
    </row>
    <row r="12" spans="1:13">
      <c r="L12" t="s">
        <v>70</v>
      </c>
      <c r="M12" t="s">
        <v>71</v>
      </c>
    </row>
    <row r="13" spans="1:13">
      <c r="L13" t="s">
        <v>72</v>
      </c>
      <c r="M13" t="s">
        <v>73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FA97-C061-47C8-A4DF-F072CFC404A4}">
  <dimension ref="A2:F16"/>
  <sheetViews>
    <sheetView workbookViewId="0">
      <selection activeCell="F17" sqref="F17"/>
    </sheetView>
  </sheetViews>
  <sheetFormatPr defaultRowHeight="15"/>
  <cols>
    <col min="1" max="1" width="23.88671875" customWidth="1"/>
    <col min="2" max="2" width="18.44140625" customWidth="1"/>
    <col min="3" max="3" width="17.109375" customWidth="1"/>
    <col min="4" max="4" width="18.33203125" customWidth="1"/>
    <col min="5" max="5" width="9.6640625" bestFit="1" customWidth="1"/>
  </cols>
  <sheetData>
    <row r="2" spans="1:6" ht="15.75">
      <c r="A2" s="3" t="s">
        <v>74</v>
      </c>
      <c r="D2" s="3" t="s">
        <v>75</v>
      </c>
    </row>
    <row r="4" spans="1:6">
      <c r="A4" t="s">
        <v>76</v>
      </c>
      <c r="B4" t="s">
        <v>32</v>
      </c>
      <c r="D4" t="s">
        <v>76</v>
      </c>
      <c r="E4" t="s">
        <v>32</v>
      </c>
    </row>
    <row r="5" spans="1:6">
      <c r="A5" t="s">
        <v>77</v>
      </c>
      <c r="B5">
        <v>69</v>
      </c>
      <c r="D5" t="s">
        <v>78</v>
      </c>
      <c r="E5">
        <v>40</v>
      </c>
    </row>
    <row r="6" spans="1:6">
      <c r="A6" t="s">
        <v>79</v>
      </c>
      <c r="B6">
        <v>0.5</v>
      </c>
      <c r="D6" t="s">
        <v>36</v>
      </c>
      <c r="E6">
        <v>29.5</v>
      </c>
    </row>
    <row r="7" spans="1:6" ht="15.75">
      <c r="A7" s="3" t="s">
        <v>37</v>
      </c>
      <c r="B7" s="3">
        <v>69.5</v>
      </c>
      <c r="D7" s="3" t="s">
        <v>38</v>
      </c>
      <c r="E7" s="3">
        <v>69.5</v>
      </c>
    </row>
    <row r="10" spans="1:6" ht="15.75">
      <c r="A10" s="3" t="s">
        <v>80</v>
      </c>
    </row>
    <row r="11" spans="1:6" ht="15.75">
      <c r="E11" s="3" t="s">
        <v>81</v>
      </c>
    </row>
    <row r="12" spans="1:6">
      <c r="A12" t="s">
        <v>18</v>
      </c>
      <c r="B12" t="s">
        <v>82</v>
      </c>
      <c r="C12" t="s">
        <v>83</v>
      </c>
    </row>
    <row r="13" spans="1:6" ht="15.75">
      <c r="A13" s="3" t="s">
        <v>84</v>
      </c>
      <c r="B13">
        <v>60</v>
      </c>
      <c r="C13">
        <v>90</v>
      </c>
      <c r="E13" t="s">
        <v>18</v>
      </c>
      <c r="F13" t="s">
        <v>85</v>
      </c>
    </row>
    <row r="14" spans="1:6" ht="15.75">
      <c r="A14" s="3" t="s">
        <v>86</v>
      </c>
      <c r="B14">
        <v>100</v>
      </c>
      <c r="C14">
        <v>60</v>
      </c>
      <c r="E14" t="s">
        <v>87</v>
      </c>
      <c r="F14" s="1">
        <v>0.57999999999999996</v>
      </c>
    </row>
    <row r="15" spans="1:6" ht="15.75">
      <c r="A15" s="3" t="s">
        <v>88</v>
      </c>
      <c r="B15" t="s">
        <v>89</v>
      </c>
      <c r="C15">
        <v>30</v>
      </c>
      <c r="E15" t="s">
        <v>90</v>
      </c>
      <c r="F15" s="1">
        <v>0.42</v>
      </c>
    </row>
    <row r="16" spans="1:6" ht="15.75">
      <c r="A16" s="3" t="s">
        <v>91</v>
      </c>
      <c r="B16" t="s">
        <v>92</v>
      </c>
      <c r="C16" t="s">
        <v>93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6EB4-D313-4BEA-A66A-5D2518E942CA}">
  <dimension ref="A7:C33"/>
  <sheetViews>
    <sheetView topLeftCell="A6" workbookViewId="0">
      <selection activeCell="A36" sqref="A36"/>
    </sheetView>
  </sheetViews>
  <sheetFormatPr defaultRowHeight="15"/>
  <cols>
    <col min="1" max="1" width="23.88671875" customWidth="1"/>
    <col min="2" max="2" width="18.44140625" customWidth="1"/>
    <col min="3" max="3" width="18.33203125" customWidth="1"/>
  </cols>
  <sheetData>
    <row r="7" spans="1:3" ht="15.75">
      <c r="A7" s="3" t="s">
        <v>94</v>
      </c>
    </row>
    <row r="9" spans="1:3">
      <c r="A9" t="s">
        <v>76</v>
      </c>
      <c r="B9" t="s">
        <v>95</v>
      </c>
      <c r="C9" t="s">
        <v>96</v>
      </c>
    </row>
    <row r="10" spans="1:3">
      <c r="A10" t="s">
        <v>97</v>
      </c>
      <c r="B10">
        <v>198</v>
      </c>
      <c r="C10">
        <v>808</v>
      </c>
    </row>
    <row r="11" spans="1:3">
      <c r="A11" t="s">
        <v>98</v>
      </c>
      <c r="B11">
        <v>95</v>
      </c>
      <c r="C11">
        <v>306</v>
      </c>
    </row>
    <row r="12" spans="1:3">
      <c r="A12" t="s">
        <v>99</v>
      </c>
      <c r="B12" s="1">
        <v>0.48</v>
      </c>
      <c r="C12" s="1">
        <v>0.41</v>
      </c>
    </row>
    <row r="13" spans="1:3">
      <c r="A13" t="s">
        <v>100</v>
      </c>
      <c r="B13">
        <v>25</v>
      </c>
      <c r="C13">
        <v>0.9</v>
      </c>
    </row>
    <row r="14" spans="1:3">
      <c r="A14" t="s">
        <v>101</v>
      </c>
      <c r="B14">
        <v>70</v>
      </c>
      <c r="C14">
        <v>2.7</v>
      </c>
    </row>
    <row r="15" spans="1:3">
      <c r="A15" t="s">
        <v>102</v>
      </c>
      <c r="B15">
        <v>2.5</v>
      </c>
      <c r="C15">
        <v>0.2</v>
      </c>
    </row>
    <row r="16" spans="1:3">
      <c r="A16" t="s">
        <v>103</v>
      </c>
      <c r="B16">
        <v>67.5</v>
      </c>
      <c r="C16">
        <v>2.5</v>
      </c>
    </row>
    <row r="17" spans="1:3">
      <c r="A17" t="s">
        <v>104</v>
      </c>
      <c r="B17" s="1">
        <v>0.16</v>
      </c>
      <c r="C17" s="1">
        <v>0.21</v>
      </c>
    </row>
    <row r="18" spans="1:3">
      <c r="A18" t="s">
        <v>105</v>
      </c>
      <c r="B18">
        <v>56.5</v>
      </c>
      <c r="C18">
        <v>2</v>
      </c>
    </row>
    <row r="20" spans="1:3" ht="15.75">
      <c r="A20" s="3" t="s">
        <v>106</v>
      </c>
    </row>
    <row r="22" spans="1:3" ht="15.75">
      <c r="A22" s="3" t="s">
        <v>18</v>
      </c>
      <c r="B22" s="3" t="s">
        <v>95</v>
      </c>
      <c r="C22" s="3" t="s">
        <v>96</v>
      </c>
    </row>
    <row r="23" spans="1:3" ht="15.75">
      <c r="A23" t="s">
        <v>107</v>
      </c>
      <c r="B23" s="3">
        <v>7.4</v>
      </c>
      <c r="C23" s="3">
        <v>0.73</v>
      </c>
    </row>
    <row r="24" spans="1:3" ht="15.75">
      <c r="A24" t="s">
        <v>108</v>
      </c>
      <c r="B24" s="3">
        <v>7.6</v>
      </c>
      <c r="C24" s="3">
        <v>2.75</v>
      </c>
    </row>
    <row r="25" spans="1:3" ht="15.75">
      <c r="B25" s="3"/>
      <c r="C25" s="3"/>
    </row>
    <row r="26" spans="1:3" ht="15.75">
      <c r="A26" s="3" t="s">
        <v>109</v>
      </c>
    </row>
    <row r="27" spans="1:3" ht="15.75">
      <c r="A27" s="3"/>
      <c r="B27" s="3"/>
      <c r="C27" s="3"/>
    </row>
    <row r="28" spans="1:3">
      <c r="A28" t="s">
        <v>76</v>
      </c>
      <c r="B28" t="s">
        <v>95</v>
      </c>
      <c r="C28" t="s">
        <v>96</v>
      </c>
    </row>
    <row r="29" spans="1:3" ht="15.75">
      <c r="A29" s="3" t="s">
        <v>86</v>
      </c>
      <c r="B29" s="3">
        <v>100</v>
      </c>
      <c r="C29" s="3">
        <v>9</v>
      </c>
    </row>
    <row r="30" spans="1:3">
      <c r="A30" t="s">
        <v>84</v>
      </c>
      <c r="B30">
        <v>60</v>
      </c>
      <c r="C30">
        <v>4</v>
      </c>
    </row>
    <row r="31" spans="1:3" ht="15.75">
      <c r="A31" s="3" t="s">
        <v>110</v>
      </c>
      <c r="B31" s="3" t="s">
        <v>89</v>
      </c>
      <c r="C31" s="3" t="s">
        <v>89</v>
      </c>
    </row>
    <row r="33" spans="1:1" ht="15.75">
      <c r="A33" s="4" t="s">
        <v>111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BBF43-7C33-4861-B301-599B97540ACF}">
  <dimension ref="A2:H31"/>
  <sheetViews>
    <sheetView workbookViewId="0">
      <selection activeCell="J29" sqref="J29"/>
    </sheetView>
  </sheetViews>
  <sheetFormatPr defaultRowHeight="15"/>
  <cols>
    <col min="1" max="1" width="23.88671875" customWidth="1"/>
    <col min="2" max="2" width="17.77734375" customWidth="1"/>
    <col min="3" max="3" width="16.21875" customWidth="1"/>
    <col min="4" max="4" width="23.109375" customWidth="1"/>
    <col min="5" max="5" width="26.5546875" customWidth="1"/>
    <col min="6" max="7" width="17.6640625" customWidth="1"/>
    <col min="8" max="8" width="20.5546875" customWidth="1"/>
  </cols>
  <sheetData>
    <row r="2" spans="1:5" ht="15.75">
      <c r="A2" s="3" t="s">
        <v>112</v>
      </c>
    </row>
    <row r="4" spans="1:5">
      <c r="A4" t="s">
        <v>76</v>
      </c>
      <c r="B4" t="s">
        <v>32</v>
      </c>
    </row>
    <row r="5" spans="1:5">
      <c r="A5" t="s">
        <v>77</v>
      </c>
      <c r="B5">
        <v>69</v>
      </c>
    </row>
    <row r="6" spans="1:5">
      <c r="A6" t="s">
        <v>113</v>
      </c>
      <c r="B6">
        <v>-5</v>
      </c>
    </row>
    <row r="7" spans="1:5">
      <c r="A7" t="s">
        <v>114</v>
      </c>
      <c r="B7">
        <v>64</v>
      </c>
    </row>
    <row r="9" spans="1:5" ht="15.75">
      <c r="A9" s="3" t="s">
        <v>115</v>
      </c>
      <c r="D9" s="3" t="s">
        <v>116</v>
      </c>
    </row>
    <row r="11" spans="1:5">
      <c r="A11" t="s">
        <v>76</v>
      </c>
      <c r="B11" t="s">
        <v>32</v>
      </c>
      <c r="D11" t="s">
        <v>76</v>
      </c>
      <c r="E11" t="s">
        <v>32</v>
      </c>
    </row>
    <row r="12" spans="1:5">
      <c r="A12" t="s">
        <v>117</v>
      </c>
      <c r="B12">
        <v>5</v>
      </c>
      <c r="D12" t="s">
        <v>114</v>
      </c>
      <c r="E12">
        <v>64</v>
      </c>
    </row>
    <row r="13" spans="1:5">
      <c r="A13" t="s">
        <v>118</v>
      </c>
      <c r="B13">
        <v>30</v>
      </c>
      <c r="D13" t="s">
        <v>119</v>
      </c>
      <c r="E13">
        <v>-35</v>
      </c>
    </row>
    <row r="14" spans="1:5">
      <c r="A14" t="s">
        <v>120</v>
      </c>
      <c r="B14">
        <v>35</v>
      </c>
      <c r="D14" t="s">
        <v>121</v>
      </c>
      <c r="E14">
        <v>29</v>
      </c>
    </row>
    <row r="16" spans="1:5" ht="15.75">
      <c r="A16" s="3" t="s">
        <v>122</v>
      </c>
      <c r="E16" s="3" t="s">
        <v>123</v>
      </c>
    </row>
    <row r="18" spans="1:8" ht="15.75">
      <c r="A18" s="3" t="s">
        <v>124</v>
      </c>
      <c r="B18" s="3" t="s">
        <v>125</v>
      </c>
      <c r="C18" s="3" t="s">
        <v>126</v>
      </c>
      <c r="E18" t="s">
        <v>127</v>
      </c>
      <c r="F18" t="s">
        <v>19</v>
      </c>
      <c r="G18" t="s">
        <v>128</v>
      </c>
      <c r="H18" t="s">
        <v>129</v>
      </c>
    </row>
    <row r="19" spans="1:8" ht="15.75">
      <c r="A19" t="s">
        <v>130</v>
      </c>
      <c r="B19" s="3">
        <v>18</v>
      </c>
      <c r="C19" t="s">
        <v>131</v>
      </c>
      <c r="E19" t="s">
        <v>132</v>
      </c>
      <c r="F19">
        <v>18</v>
      </c>
      <c r="G19" t="s">
        <v>133</v>
      </c>
      <c r="H19">
        <v>1.8</v>
      </c>
    </row>
    <row r="20" spans="1:8" ht="15.75">
      <c r="A20" t="s">
        <v>134</v>
      </c>
      <c r="B20" s="3">
        <v>7</v>
      </c>
      <c r="C20" t="s">
        <v>135</v>
      </c>
      <c r="E20" t="s">
        <v>134</v>
      </c>
      <c r="F20">
        <v>7</v>
      </c>
      <c r="G20" t="s">
        <v>136</v>
      </c>
      <c r="H20">
        <v>0.9</v>
      </c>
    </row>
    <row r="21" spans="1:8" ht="15.75">
      <c r="A21" t="s">
        <v>137</v>
      </c>
      <c r="B21" s="3">
        <v>5</v>
      </c>
      <c r="C21" t="s">
        <v>138</v>
      </c>
      <c r="E21" t="s">
        <v>139</v>
      </c>
      <c r="F21">
        <v>5</v>
      </c>
      <c r="G21" t="s">
        <v>140</v>
      </c>
      <c r="H21">
        <v>1</v>
      </c>
    </row>
    <row r="22" spans="1:8" ht="15.75">
      <c r="A22" s="3" t="s">
        <v>141</v>
      </c>
      <c r="B22" s="3">
        <v>30</v>
      </c>
      <c r="C22" t="s">
        <v>142</v>
      </c>
      <c r="E22" s="3" t="s">
        <v>143</v>
      </c>
      <c r="F22" s="3" t="s">
        <v>142</v>
      </c>
      <c r="G22" s="3" t="s">
        <v>142</v>
      </c>
      <c r="H22" s="3" t="s">
        <v>144</v>
      </c>
    </row>
    <row r="25" spans="1:8" ht="15.75">
      <c r="A25" s="3" t="s">
        <v>145</v>
      </c>
    </row>
    <row r="26" spans="1:8">
      <c r="A26" t="s">
        <v>76</v>
      </c>
      <c r="B26" t="s">
        <v>32</v>
      </c>
    </row>
    <row r="27" spans="1:8">
      <c r="A27" t="s">
        <v>146</v>
      </c>
      <c r="B27">
        <v>30</v>
      </c>
    </row>
    <row r="28" spans="1:8">
      <c r="A28" t="s">
        <v>147</v>
      </c>
      <c r="B28" s="1">
        <v>0.21</v>
      </c>
    </row>
    <row r="29" spans="1:8">
      <c r="A29" t="s">
        <v>148</v>
      </c>
      <c r="B29">
        <v>6.3</v>
      </c>
    </row>
    <row r="31" spans="1:8" ht="15.75">
      <c r="A31" s="4" t="s">
        <v>149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80B2C-F845-4D0E-B2DC-9B12989FD1B3}">
  <dimension ref="A3:E18"/>
  <sheetViews>
    <sheetView workbookViewId="0">
      <selection activeCell="A21" sqref="A21"/>
    </sheetView>
  </sheetViews>
  <sheetFormatPr defaultRowHeight="15"/>
  <cols>
    <col min="1" max="1" width="23.88671875" bestFit="1" customWidth="1"/>
    <col min="2" max="2" width="17.88671875" customWidth="1"/>
    <col min="3" max="5" width="17.77734375" customWidth="1"/>
  </cols>
  <sheetData>
    <row r="3" spans="1:5" ht="15.75">
      <c r="A3" s="3" t="s">
        <v>150</v>
      </c>
    </row>
    <row r="5" spans="1:5">
      <c r="A5" t="s">
        <v>76</v>
      </c>
      <c r="B5" t="s">
        <v>151</v>
      </c>
      <c r="C5" t="s">
        <v>152</v>
      </c>
      <c r="D5" t="s">
        <v>153</v>
      </c>
      <c r="E5" t="s">
        <v>154</v>
      </c>
    </row>
    <row r="6" spans="1:5">
      <c r="A6" t="s">
        <v>97</v>
      </c>
      <c r="B6">
        <v>198</v>
      </c>
      <c r="C6">
        <v>8.8000000000000007</v>
      </c>
      <c r="D6" t="s">
        <v>142</v>
      </c>
      <c r="E6">
        <v>206.8</v>
      </c>
    </row>
    <row r="7" spans="1:5">
      <c r="A7" t="s">
        <v>98</v>
      </c>
      <c r="B7">
        <v>95</v>
      </c>
      <c r="C7">
        <v>3.6</v>
      </c>
      <c r="D7" t="s">
        <v>142</v>
      </c>
      <c r="E7">
        <v>98.6</v>
      </c>
    </row>
    <row r="8" spans="1:5">
      <c r="A8" t="s">
        <v>99</v>
      </c>
      <c r="B8" s="2">
        <v>0.48</v>
      </c>
      <c r="C8" s="2">
        <v>0.41</v>
      </c>
      <c r="D8" t="s">
        <v>142</v>
      </c>
      <c r="E8" s="2">
        <v>0.47699999999999998</v>
      </c>
    </row>
    <row r="9" spans="1:5" ht="15.75">
      <c r="A9" t="s">
        <v>100</v>
      </c>
      <c r="B9">
        <v>25</v>
      </c>
      <c r="C9">
        <v>0.9</v>
      </c>
      <c r="D9">
        <v>3.7</v>
      </c>
      <c r="E9" s="7">
        <f>SUM(Table28[[#This Row],[MSFT]:[Adjustments]])</f>
        <v>29.599999999999998</v>
      </c>
    </row>
    <row r="10" spans="1:5">
      <c r="A10" t="s">
        <v>101</v>
      </c>
      <c r="B10">
        <v>70</v>
      </c>
      <c r="C10">
        <v>2.7</v>
      </c>
      <c r="D10">
        <v>3.7</v>
      </c>
      <c r="E10">
        <v>69</v>
      </c>
    </row>
    <row r="11" spans="1:5">
      <c r="A11" t="s">
        <v>155</v>
      </c>
      <c r="B11">
        <v>2.5</v>
      </c>
      <c r="C11">
        <v>0.2</v>
      </c>
      <c r="D11">
        <v>1.7</v>
      </c>
      <c r="E11">
        <f>SUM(Table28[[#This Row],[MSFT]:[Adjustments]])</f>
        <v>4.4000000000000004</v>
      </c>
    </row>
    <row r="12" spans="1:5">
      <c r="A12" t="s">
        <v>103</v>
      </c>
      <c r="B12">
        <v>67.5</v>
      </c>
      <c r="C12">
        <v>2.5</v>
      </c>
      <c r="D12">
        <v>5.4</v>
      </c>
      <c r="E12">
        <v>64.599999999999994</v>
      </c>
    </row>
    <row r="13" spans="1:5">
      <c r="A13" t="s">
        <v>156</v>
      </c>
      <c r="B13">
        <v>10.8</v>
      </c>
      <c r="C13">
        <v>0.5</v>
      </c>
      <c r="D13">
        <v>0.4</v>
      </c>
      <c r="E13">
        <v>10.9</v>
      </c>
    </row>
    <row r="14" spans="1:5" ht="15.75">
      <c r="A14" s="7" t="s">
        <v>105</v>
      </c>
      <c r="B14" s="7">
        <v>56.7</v>
      </c>
      <c r="C14" s="7">
        <v>2</v>
      </c>
      <c r="D14" s="7">
        <v>-5</v>
      </c>
      <c r="E14" s="7">
        <v>53.7</v>
      </c>
    </row>
    <row r="16" spans="1:5" ht="15.75">
      <c r="A16" s="3" t="s">
        <v>157</v>
      </c>
    </row>
    <row r="18" spans="1:1" ht="15.75">
      <c r="A18" s="4" t="s">
        <v>158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9A44E-5966-48D0-BE59-1112EDF23CBD}">
  <dimension ref="A2:D20"/>
  <sheetViews>
    <sheetView workbookViewId="0">
      <selection activeCell="A23" sqref="A23"/>
    </sheetView>
  </sheetViews>
  <sheetFormatPr defaultRowHeight="15"/>
  <cols>
    <col min="1" max="1" width="32.33203125" customWidth="1"/>
    <col min="2" max="2" width="18" customWidth="1"/>
    <col min="3" max="4" width="17.77734375" customWidth="1"/>
  </cols>
  <sheetData>
    <row r="2" spans="1:4">
      <c r="A2" t="s">
        <v>159</v>
      </c>
    </row>
    <row r="3" spans="1:4" ht="15.75">
      <c r="A3" s="3" t="s">
        <v>76</v>
      </c>
      <c r="B3" s="3" t="s">
        <v>160</v>
      </c>
      <c r="C3" s="3" t="s">
        <v>154</v>
      </c>
      <c r="D3" s="3" t="s">
        <v>161</v>
      </c>
    </row>
    <row r="4" spans="1:4" ht="15.75">
      <c r="A4" t="s">
        <v>105</v>
      </c>
      <c r="B4" s="3">
        <v>56.7</v>
      </c>
      <c r="C4" s="3">
        <v>53.7</v>
      </c>
      <c r="D4" s="3">
        <v>-3</v>
      </c>
    </row>
    <row r="5" spans="1:4" ht="15.75">
      <c r="A5" t="s">
        <v>162</v>
      </c>
      <c r="B5" s="3">
        <v>7.4</v>
      </c>
      <c r="C5" s="3">
        <v>7.4</v>
      </c>
      <c r="D5" t="s">
        <v>142</v>
      </c>
    </row>
    <row r="6" spans="1:4" ht="15.75">
      <c r="A6" s="3" t="s">
        <v>163</v>
      </c>
      <c r="B6" s="3">
        <v>7.66</v>
      </c>
      <c r="C6" s="3">
        <v>7.26</v>
      </c>
      <c r="D6" s="3">
        <v>-0.4</v>
      </c>
    </row>
    <row r="7" spans="1:4" ht="15.75">
      <c r="A7" s="3" t="s">
        <v>164</v>
      </c>
      <c r="B7" t="s">
        <v>142</v>
      </c>
      <c r="C7" t="s">
        <v>142</v>
      </c>
      <c r="D7" s="8">
        <v>5.1999999999999998E-2</v>
      </c>
    </row>
    <row r="10" spans="1:4">
      <c r="A10" t="s">
        <v>165</v>
      </c>
    </row>
    <row r="12" spans="1:4" ht="15.75">
      <c r="A12" s="3" t="s">
        <v>165</v>
      </c>
      <c r="B12" s="3"/>
      <c r="C12" s="3"/>
      <c r="D12" s="3"/>
    </row>
    <row r="13" spans="1:4" ht="15.75">
      <c r="A13" t="s">
        <v>66</v>
      </c>
      <c r="B13" s="3" t="s">
        <v>166</v>
      </c>
      <c r="C13" s="3"/>
      <c r="D13" s="3"/>
    </row>
    <row r="14" spans="1:4" ht="15.75">
      <c r="A14" t="s">
        <v>167</v>
      </c>
      <c r="B14" s="3">
        <v>-0.15</v>
      </c>
      <c r="C14" s="3"/>
    </row>
    <row r="15" spans="1:4" ht="15.75">
      <c r="A15" s="3" t="s">
        <v>168</v>
      </c>
      <c r="B15" s="3">
        <v>-0.23</v>
      </c>
      <c r="C15" s="3"/>
      <c r="D15" s="3"/>
    </row>
    <row r="16" spans="1:4" ht="15.75">
      <c r="A16" s="3" t="s">
        <v>169</v>
      </c>
      <c r="B16">
        <v>-0.5</v>
      </c>
      <c r="D16" s="3"/>
    </row>
    <row r="17" spans="1:2">
      <c r="A17" t="s">
        <v>170</v>
      </c>
      <c r="B17">
        <v>0.48</v>
      </c>
    </row>
    <row r="18" spans="1:2">
      <c r="A18" t="s">
        <v>171</v>
      </c>
      <c r="B18">
        <v>-0.4</v>
      </c>
    </row>
    <row r="20" spans="1:2" ht="15.75">
      <c r="A20" s="4" t="s">
        <v>172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319F-76AF-4AC9-A692-BE26128C2C01}">
  <dimension ref="A1:D29"/>
  <sheetViews>
    <sheetView workbookViewId="0">
      <selection activeCell="A31" sqref="A31"/>
    </sheetView>
  </sheetViews>
  <sheetFormatPr defaultRowHeight="15"/>
  <cols>
    <col min="1" max="1" width="26.88671875" customWidth="1"/>
    <col min="2" max="2" width="20.5546875" customWidth="1"/>
    <col min="3" max="3" width="17.77734375" customWidth="1"/>
    <col min="4" max="4" width="17.6640625" customWidth="1"/>
  </cols>
  <sheetData>
    <row r="1" spans="1:4" ht="15.75">
      <c r="A1" s="3" t="s">
        <v>173</v>
      </c>
    </row>
    <row r="2" spans="1:4" ht="15.75">
      <c r="A2" s="3" t="s">
        <v>174</v>
      </c>
    </row>
    <row r="4" spans="1:4">
      <c r="B4" t="s">
        <v>175</v>
      </c>
      <c r="C4" t="s">
        <v>176</v>
      </c>
      <c r="D4" t="s">
        <v>166</v>
      </c>
    </row>
    <row r="5" spans="1:4">
      <c r="B5" s="1">
        <v>0</v>
      </c>
      <c r="C5" s="1">
        <v>1</v>
      </c>
      <c r="D5" s="2">
        <v>-3.7999999999999999E-2</v>
      </c>
    </row>
    <row r="6" spans="1:4">
      <c r="B6" s="1">
        <v>0.25</v>
      </c>
      <c r="C6" s="1">
        <v>0.75</v>
      </c>
      <c r="D6" s="2">
        <v>-4.3999999999999997E-2</v>
      </c>
    </row>
    <row r="7" spans="1:4">
      <c r="B7" s="1">
        <v>0.5</v>
      </c>
      <c r="C7" s="1">
        <v>0.5</v>
      </c>
      <c r="D7" s="2">
        <v>-5.1999999999999998E-2</v>
      </c>
    </row>
    <row r="8" spans="1:4">
      <c r="B8" s="1">
        <v>0.75</v>
      </c>
      <c r="C8" s="1">
        <v>0.25</v>
      </c>
      <c r="D8" s="2">
        <v>-0.06</v>
      </c>
    </row>
    <row r="11" spans="1:4" ht="15.75">
      <c r="A11" s="3" t="s">
        <v>177</v>
      </c>
    </row>
    <row r="12" spans="1:4" ht="15.75">
      <c r="A12" s="3" t="s">
        <v>178</v>
      </c>
    </row>
    <row r="14" spans="1:4">
      <c r="B14" t="s">
        <v>179</v>
      </c>
      <c r="C14" t="s">
        <v>166</v>
      </c>
    </row>
    <row r="15" spans="1:4">
      <c r="B15" s="2">
        <v>4.4999999999999998E-2</v>
      </c>
      <c r="C15" s="2">
        <v>-4.5999999999999999E-2</v>
      </c>
    </row>
    <row r="16" spans="1:4">
      <c r="B16" s="2">
        <v>5.5E-2</v>
      </c>
      <c r="C16" s="2">
        <v>-5.1999999999999998E-2</v>
      </c>
    </row>
    <row r="17" spans="1:3">
      <c r="B17" s="2">
        <v>6.5000000000000002E-2</v>
      </c>
      <c r="C17" s="2">
        <v>-5.8000000000000003E-2</v>
      </c>
    </row>
    <row r="20" spans="1:3" ht="15.75">
      <c r="A20" s="3" t="s">
        <v>180</v>
      </c>
    </row>
    <row r="21" spans="1:3" ht="15.75">
      <c r="A21" s="3" t="s">
        <v>181</v>
      </c>
    </row>
    <row r="23" spans="1:3">
      <c r="B23" t="s">
        <v>129</v>
      </c>
      <c r="C23" t="s">
        <v>166</v>
      </c>
    </row>
    <row r="24" spans="1:3">
      <c r="B24" t="s">
        <v>182</v>
      </c>
      <c r="C24" s="2">
        <v>-4.3999999999999997E-2</v>
      </c>
    </row>
    <row r="25" spans="1:3">
      <c r="B25" t="s">
        <v>183</v>
      </c>
      <c r="C25" s="2">
        <v>-5.1999999999999998E-2</v>
      </c>
    </row>
    <row r="26" spans="1:3">
      <c r="B26" t="s">
        <v>184</v>
      </c>
      <c r="C26" s="2">
        <v>-6.0999999999999999E-2</v>
      </c>
    </row>
    <row r="29" spans="1:3" ht="15.75">
      <c r="A29" s="4" t="s">
        <v>185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D1624-44D8-414E-A5BE-4AA4AE1C6CC5}">
  <dimension ref="A1:A20"/>
  <sheetViews>
    <sheetView workbookViewId="0">
      <selection activeCell="B24" sqref="B24"/>
    </sheetView>
  </sheetViews>
  <sheetFormatPr defaultRowHeight="15"/>
  <cols>
    <col min="1" max="1" width="64.77734375" customWidth="1"/>
    <col min="2" max="2" width="17.88671875" customWidth="1"/>
    <col min="3" max="3" width="17.77734375" customWidth="1"/>
    <col min="4" max="4" width="17.88671875" customWidth="1"/>
  </cols>
  <sheetData>
    <row r="1" spans="1:1" ht="15.75">
      <c r="A1" s="3" t="s">
        <v>186</v>
      </c>
    </row>
    <row r="3" spans="1:1" ht="17.25">
      <c r="A3" s="9" t="s">
        <v>187</v>
      </c>
    </row>
    <row r="4" spans="1:1">
      <c r="A4" t="s">
        <v>188</v>
      </c>
    </row>
    <row r="5" spans="1:1">
      <c r="A5" t="s">
        <v>189</v>
      </c>
    </row>
    <row r="6" spans="1:1">
      <c r="A6" t="s">
        <v>190</v>
      </c>
    </row>
    <row r="8" spans="1:1" ht="17.25">
      <c r="A8" s="9" t="s">
        <v>191</v>
      </c>
    </row>
    <row r="9" spans="1:1">
      <c r="A9" t="s">
        <v>192</v>
      </c>
    </row>
    <row r="10" spans="1:1">
      <c r="A10" t="s">
        <v>193</v>
      </c>
    </row>
    <row r="11" spans="1:1">
      <c r="A11" t="s">
        <v>194</v>
      </c>
    </row>
    <row r="13" spans="1:1" ht="17.25">
      <c r="A13" s="9" t="s">
        <v>195</v>
      </c>
    </row>
    <row r="14" spans="1:1">
      <c r="A14" t="s">
        <v>196</v>
      </c>
    </row>
    <row r="15" spans="1:1">
      <c r="A15" t="s">
        <v>197</v>
      </c>
    </row>
    <row r="16" spans="1:1">
      <c r="A16" t="s">
        <v>198</v>
      </c>
    </row>
    <row r="18" spans="1:1" ht="17.25">
      <c r="A18" s="9" t="s">
        <v>199</v>
      </c>
    </row>
    <row r="19" spans="1:1">
      <c r="A19" t="s">
        <v>200</v>
      </c>
    </row>
    <row r="20" spans="1:1">
      <c r="A20" t="s">
        <v>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1491-C243-4403-A562-F7B73FEE3B9A}">
  <dimension ref="A2:F19"/>
  <sheetViews>
    <sheetView workbookViewId="0">
      <selection activeCell="C31" sqref="C31"/>
    </sheetView>
  </sheetViews>
  <sheetFormatPr defaultRowHeight="15"/>
  <cols>
    <col min="1" max="1" width="18.5546875" customWidth="1"/>
    <col min="2" max="3" width="17.77734375" customWidth="1"/>
    <col min="4" max="4" width="18.44140625" customWidth="1"/>
    <col min="5" max="5" width="14" customWidth="1"/>
    <col min="6" max="6" width="14.5546875" customWidth="1"/>
  </cols>
  <sheetData>
    <row r="2" spans="1:6" ht="15.75">
      <c r="A2" s="3" t="s">
        <v>202</v>
      </c>
    </row>
    <row r="4" spans="1:6">
      <c r="A4" t="s">
        <v>203</v>
      </c>
      <c r="B4" t="s">
        <v>204</v>
      </c>
      <c r="C4" t="s">
        <v>205</v>
      </c>
      <c r="D4" t="s">
        <v>206</v>
      </c>
      <c r="E4" t="s">
        <v>27</v>
      </c>
      <c r="F4" t="s">
        <v>29</v>
      </c>
    </row>
    <row r="5" spans="1:6" ht="15.75">
      <c r="A5" s="3" t="s">
        <v>207</v>
      </c>
      <c r="B5">
        <v>38</v>
      </c>
      <c r="C5">
        <v>7.4</v>
      </c>
      <c r="D5">
        <v>2.2999999999999998</v>
      </c>
      <c r="E5" t="s">
        <v>208</v>
      </c>
      <c r="F5" t="s">
        <v>209</v>
      </c>
    </row>
    <row r="6" spans="1:6" ht="15.75">
      <c r="A6" s="3" t="s">
        <v>210</v>
      </c>
      <c r="B6">
        <v>30</v>
      </c>
      <c r="C6">
        <v>5.3</v>
      </c>
      <c r="D6">
        <v>1.8</v>
      </c>
      <c r="E6" t="s">
        <v>211</v>
      </c>
      <c r="F6" t="s">
        <v>209</v>
      </c>
    </row>
    <row r="7" spans="1:6" ht="15.75">
      <c r="A7" s="3" t="s">
        <v>212</v>
      </c>
      <c r="B7">
        <v>6</v>
      </c>
      <c r="C7">
        <v>2.2000000000000002</v>
      </c>
      <c r="D7">
        <v>0.4</v>
      </c>
      <c r="E7" t="s">
        <v>213</v>
      </c>
      <c r="F7" t="s">
        <v>214</v>
      </c>
    </row>
    <row r="8" spans="1:6" ht="15.75">
      <c r="A8" s="3" t="s">
        <v>215</v>
      </c>
      <c r="B8" t="s">
        <v>142</v>
      </c>
      <c r="C8" t="s">
        <v>142</v>
      </c>
      <c r="D8" t="s">
        <v>142</v>
      </c>
      <c r="E8" s="10" t="s">
        <v>208</v>
      </c>
      <c r="F8" s="10" t="s">
        <v>209</v>
      </c>
    </row>
    <row r="11" spans="1:6" ht="15.75">
      <c r="A11" s="3" t="s">
        <v>216</v>
      </c>
    </row>
    <row r="12" spans="1:6">
      <c r="A12" t="s">
        <v>18</v>
      </c>
      <c r="B12" t="s">
        <v>19</v>
      </c>
    </row>
    <row r="13" spans="1:6">
      <c r="A13" t="s">
        <v>217</v>
      </c>
      <c r="B13" t="s">
        <v>218</v>
      </c>
    </row>
    <row r="14" spans="1:6">
      <c r="A14" t="s">
        <v>21</v>
      </c>
      <c r="B14" t="s">
        <v>22</v>
      </c>
    </row>
    <row r="15" spans="1:6">
      <c r="A15" t="s">
        <v>24</v>
      </c>
      <c r="B15" t="s">
        <v>25</v>
      </c>
    </row>
    <row r="16" spans="1:6">
      <c r="A16" t="s">
        <v>27</v>
      </c>
      <c r="B16" t="s">
        <v>28</v>
      </c>
    </row>
    <row r="17" spans="1:2">
      <c r="A17" t="s">
        <v>29</v>
      </c>
      <c r="B17" t="s">
        <v>30</v>
      </c>
    </row>
    <row r="19" spans="1:2" ht="15.75">
      <c r="A19" s="3" t="s">
        <v>219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6ABCC-76AF-49DA-BA53-5345CA71DC16}">
  <dimension ref="A2:D27"/>
  <sheetViews>
    <sheetView workbookViewId="0">
      <selection activeCell="A30" sqref="A30"/>
    </sheetView>
  </sheetViews>
  <sheetFormatPr defaultRowHeight="15"/>
  <cols>
    <col min="1" max="1" width="23.88671875" customWidth="1"/>
    <col min="2" max="2" width="25.33203125" customWidth="1"/>
    <col min="3" max="3" width="15.5546875" customWidth="1"/>
    <col min="4" max="4" width="14.5546875" customWidth="1"/>
  </cols>
  <sheetData>
    <row r="2" spans="1:2" ht="15.75">
      <c r="A2" s="3" t="s">
        <v>220</v>
      </c>
    </row>
    <row r="4" spans="1:2">
      <c r="A4" t="s">
        <v>221</v>
      </c>
      <c r="B4" t="s">
        <v>19</v>
      </c>
    </row>
    <row r="5" spans="1:2">
      <c r="A5" t="s">
        <v>222</v>
      </c>
      <c r="B5" s="2">
        <v>4.4999999999999998E-2</v>
      </c>
    </row>
    <row r="6" spans="1:2">
      <c r="A6" t="s">
        <v>99</v>
      </c>
      <c r="B6" s="1">
        <v>0.41</v>
      </c>
    </row>
    <row r="7" spans="1:2">
      <c r="A7" t="s">
        <v>223</v>
      </c>
      <c r="B7" s="1">
        <v>0.06</v>
      </c>
    </row>
    <row r="8" spans="1:2">
      <c r="A8" t="s">
        <v>224</v>
      </c>
      <c r="B8" s="2">
        <v>8.2500000000000004E-2</v>
      </c>
    </row>
    <row r="9" spans="1:2">
      <c r="A9" t="s">
        <v>225</v>
      </c>
      <c r="B9" s="2">
        <v>0.02</v>
      </c>
    </row>
    <row r="11" spans="1:2" ht="15.75">
      <c r="A11" s="3" t="s">
        <v>226</v>
      </c>
    </row>
    <row r="13" spans="1:2">
      <c r="A13" t="s">
        <v>18</v>
      </c>
      <c r="B13" t="s">
        <v>19</v>
      </c>
    </row>
    <row r="14" spans="1:2">
      <c r="A14" t="s">
        <v>227</v>
      </c>
      <c r="B14" t="s">
        <v>228</v>
      </c>
    </row>
    <row r="15" spans="1:2">
      <c r="A15" t="s">
        <v>229</v>
      </c>
      <c r="B15" t="s">
        <v>230</v>
      </c>
    </row>
    <row r="16" spans="1:2">
      <c r="A16" t="s">
        <v>114</v>
      </c>
      <c r="B16" t="s">
        <v>231</v>
      </c>
    </row>
    <row r="17" spans="1:4">
      <c r="A17" t="s">
        <v>232</v>
      </c>
      <c r="B17" t="s">
        <v>218</v>
      </c>
    </row>
    <row r="18" spans="1:4">
      <c r="A18" t="s">
        <v>233</v>
      </c>
      <c r="B18" t="s">
        <v>234</v>
      </c>
    </row>
    <row r="20" spans="1:4" ht="15.75">
      <c r="A20" s="3" t="s">
        <v>235</v>
      </c>
    </row>
    <row r="22" spans="1:4">
      <c r="A22" t="s">
        <v>236</v>
      </c>
      <c r="B22" s="2" t="s">
        <v>237</v>
      </c>
      <c r="C22" s="2" t="s">
        <v>238</v>
      </c>
      <c r="D22" s="2" t="s">
        <v>239</v>
      </c>
    </row>
    <row r="23" spans="1:4">
      <c r="A23" s="2">
        <v>7.7499999999999999E-2</v>
      </c>
      <c r="B23">
        <v>61</v>
      </c>
      <c r="C23">
        <v>65</v>
      </c>
      <c r="D23">
        <v>69</v>
      </c>
    </row>
    <row r="24" spans="1:4">
      <c r="A24" s="2">
        <v>8.2500000000000004E-2</v>
      </c>
      <c r="B24">
        <v>55</v>
      </c>
      <c r="C24">
        <v>57</v>
      </c>
      <c r="D24">
        <v>60</v>
      </c>
    </row>
    <row r="25" spans="1:4">
      <c r="A25" s="2">
        <v>8.7499999999999994E-2</v>
      </c>
      <c r="B25">
        <v>50</v>
      </c>
      <c r="C25">
        <v>53</v>
      </c>
      <c r="D25">
        <v>56</v>
      </c>
    </row>
    <row r="27" spans="1:4" ht="15.75">
      <c r="A27" s="4" t="s">
        <v>240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. Gaurav</dc:creator>
  <cp:keywords/>
  <dc:description/>
  <cp:lastModifiedBy/>
  <cp:revision/>
  <dcterms:created xsi:type="dcterms:W3CDTF">2026-01-06T16:45:44Z</dcterms:created>
  <dcterms:modified xsi:type="dcterms:W3CDTF">2026-02-01T13:45:07Z</dcterms:modified>
  <cp:category/>
  <cp:contentStatus/>
</cp:coreProperties>
</file>