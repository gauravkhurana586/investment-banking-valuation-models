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7"/>
  <workbookPr/>
  <mc:AlternateContent xmlns:mc="http://schemas.openxmlformats.org/markup-compatibility/2006">
    <mc:Choice Requires="x15">
      <x15ac:absPath xmlns:x15ac="http://schemas.microsoft.com/office/spreadsheetml/2010/11/ac" url="/Users/guaravkhurana586/Downloads/"/>
    </mc:Choice>
  </mc:AlternateContent>
  <xr:revisionPtr revIDLastSave="0" documentId="8_{7B899F5F-D957-4903-8166-E0CCD82E79D6}" xr6:coauthVersionLast="47" xr6:coauthVersionMax="47" xr10:uidLastSave="{00000000-0000-0000-0000-000000000000}"/>
  <bookViews>
    <workbookView xWindow="28800" yWindow="0" windowWidth="38400" windowHeight="21600" firstSheet="8" activeTab="8" xr2:uid="{588BA26A-3708-9044-8045-7CE0F862E5B5}"/>
  </bookViews>
  <sheets>
    <sheet name="Trasaction Overview " sheetId="1" r:id="rId1"/>
    <sheet name="Operating Assumptions" sheetId="2" r:id="rId2"/>
    <sheet name="Operational Multiples" sheetId="3" r:id="rId3"/>
    <sheet name="Sources and Uses" sheetId="4" r:id="rId4"/>
    <sheet name=" Incremental Revenue and EBITDA" sheetId="5" r:id="rId5"/>
    <sheet name="Free Cash Flow &amp; EBITDA " sheetId="7" r:id="rId6"/>
    <sheet name="Debt Schedule and Cash Sweeep" sheetId="8" r:id="rId7"/>
    <sheet name="Exit Analysis" sheetId="9" r:id="rId8"/>
    <sheet name="Returns" sheetId="10" r:id="rId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" i="10" l="1"/>
  <c r="E6" i="10"/>
  <c r="F6" i="10"/>
  <c r="C6" i="10"/>
  <c r="B8" i="9"/>
  <c r="G8" i="8"/>
  <c r="F8" i="8"/>
  <c r="C3" i="8"/>
  <c r="B3" i="5"/>
  <c r="B6" i="5" s="1"/>
  <c r="B9" i="5" s="1"/>
  <c r="B11" i="5" s="1"/>
  <c r="D10" i="3"/>
  <c r="E10" i="3"/>
  <c r="F10" i="3"/>
  <c r="G10" i="3"/>
  <c r="C10" i="3"/>
  <c r="D8" i="3"/>
  <c r="E8" i="3"/>
  <c r="F8" i="3"/>
  <c r="G8" i="3"/>
  <c r="C8" i="3"/>
  <c r="D6" i="3"/>
  <c r="E6" i="3"/>
  <c r="F6" i="3"/>
  <c r="G6" i="3"/>
  <c r="C6" i="3"/>
  <c r="C3" i="3"/>
  <c r="D3" i="3" s="1"/>
  <c r="B7" i="2"/>
  <c r="B5" i="2"/>
  <c r="C5" i="2" s="1"/>
  <c r="B25" i="1"/>
  <c r="B17" i="1"/>
  <c r="B10" i="4" l="1"/>
  <c r="B27" i="1"/>
  <c r="C10" i="2"/>
  <c r="C5" i="7" s="1"/>
  <c r="C7" i="2"/>
  <c r="D5" i="2"/>
  <c r="B3" i="7"/>
  <c r="C3" i="5"/>
  <c r="C5" i="3"/>
  <c r="C7" i="3"/>
  <c r="D7" i="3"/>
  <c r="E3" i="3"/>
  <c r="D5" i="3"/>
  <c r="D9" i="3"/>
  <c r="D4" i="7" s="1"/>
  <c r="D11" i="3" l="1"/>
  <c r="C9" i="3"/>
  <c r="C4" i="7" s="1"/>
  <c r="C11" i="3"/>
  <c r="C5" i="5"/>
  <c r="C6" i="5"/>
  <c r="C9" i="5" s="1"/>
  <c r="C11" i="5" s="1"/>
  <c r="D10" i="2"/>
  <c r="D5" i="7" s="1"/>
  <c r="D7" i="2"/>
  <c r="E5" i="2"/>
  <c r="B3" i="4"/>
  <c r="B38" i="1"/>
  <c r="B37" i="1"/>
  <c r="B3" i="8"/>
  <c r="F3" i="3"/>
  <c r="E7" i="3"/>
  <c r="E5" i="3"/>
  <c r="E9" i="3" l="1"/>
  <c r="E4" i="7" s="1"/>
  <c r="E11" i="3"/>
  <c r="B11" i="4"/>
  <c r="B4" i="4"/>
  <c r="B6" i="4" s="1"/>
  <c r="F5" i="2"/>
  <c r="E10" i="2"/>
  <c r="E5" i="7" s="1"/>
  <c r="E7" i="2"/>
  <c r="C3" i="7"/>
  <c r="C7" i="7" s="1"/>
  <c r="D3" i="5"/>
  <c r="G3" i="3"/>
  <c r="F7" i="3"/>
  <c r="F5" i="3"/>
  <c r="F9" i="3" l="1"/>
  <c r="F4" i="7" s="1"/>
  <c r="F11" i="3"/>
  <c r="D5" i="5"/>
  <c r="D6" i="5"/>
  <c r="D9" i="5" s="1"/>
  <c r="D11" i="5" s="1"/>
  <c r="G5" i="2"/>
  <c r="F10" i="2"/>
  <c r="F5" i="7" s="1"/>
  <c r="F7" i="2"/>
  <c r="B12" i="4"/>
  <c r="B13" i="4" s="1"/>
  <c r="G7" i="3"/>
  <c r="G5" i="3"/>
  <c r="G9" i="3" l="1"/>
  <c r="G4" i="7" s="1"/>
  <c r="G11" i="3"/>
  <c r="B3" i="10"/>
  <c r="B6" i="10" s="1" a="1"/>
  <c r="B6" i="10" s="1"/>
  <c r="B14" i="4"/>
  <c r="G10" i="2"/>
  <c r="G5" i="7" s="1"/>
  <c r="G7" i="2"/>
  <c r="E3" i="5"/>
  <c r="D3" i="7"/>
  <c r="D7" i="7" s="1"/>
  <c r="E6" i="5" l="1"/>
  <c r="E9" i="5" s="1"/>
  <c r="E11" i="5" s="1"/>
  <c r="E5" i="5"/>
  <c r="D4" i="8"/>
  <c r="D7" i="8" s="1"/>
  <c r="D8" i="8" s="1"/>
  <c r="C4" i="8"/>
  <c r="C7" i="8" l="1"/>
  <c r="C8" i="8" s="1"/>
  <c r="C9" i="8" s="1"/>
  <c r="D3" i="8" s="1"/>
  <c r="C6" i="8"/>
  <c r="F3" i="5"/>
  <c r="E3" i="7"/>
  <c r="E7" i="7" s="1"/>
  <c r="E7" i="8" s="1"/>
  <c r="E8" i="8" s="1"/>
  <c r="F6" i="5" l="1"/>
  <c r="F9" i="5" s="1"/>
  <c r="F11" i="5" s="1"/>
  <c r="F5" i="5"/>
  <c r="D6" i="8"/>
  <c r="D9" i="8"/>
  <c r="E3" i="8" s="1"/>
  <c r="E9" i="8" l="1"/>
  <c r="F3" i="8" s="1"/>
  <c r="E6" i="8"/>
  <c r="G3" i="5"/>
  <c r="F3" i="7"/>
  <c r="F7" i="7" s="1"/>
  <c r="G6" i="5" l="1"/>
  <c r="G9" i="5" s="1"/>
  <c r="G11" i="5" s="1"/>
  <c r="G5" i="5"/>
  <c r="F9" i="8"/>
  <c r="G3" i="8" s="1"/>
  <c r="F6" i="8"/>
  <c r="G9" i="8" l="1"/>
  <c r="B7" i="9" s="1"/>
  <c r="G6" i="8"/>
  <c r="B5" i="9"/>
  <c r="B6" i="9" s="1"/>
  <c r="B9" i="9" s="1"/>
  <c r="G5" i="10" s="1"/>
  <c r="G6" i="10" s="1"/>
  <c r="G3" i="7"/>
  <c r="G7" i="7" s="1"/>
  <c r="B10" i="10" l="1"/>
  <c r="B8" i="10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<sst xmlns="http://schemas.openxmlformats.org/spreadsheetml/2006/main" count="203" uniqueCount="152">
  <si>
    <t>Trasaction Type</t>
  </si>
  <si>
    <t>Sponsor Buyout</t>
  </si>
  <si>
    <t>Sponsor</t>
  </si>
  <si>
    <t>Thoma Bravo</t>
  </si>
  <si>
    <t>Target</t>
  </si>
  <si>
    <t>Proof Point Inc.</t>
  </si>
  <si>
    <t>Deal Type</t>
  </si>
  <si>
    <t>Take Private LBO</t>
  </si>
  <si>
    <t>Deal Year</t>
  </si>
  <si>
    <t>Projections</t>
  </si>
  <si>
    <t>2022-2026</t>
  </si>
  <si>
    <t>Cureency</t>
  </si>
  <si>
    <t>USD(mm)</t>
  </si>
  <si>
    <t>Hold period</t>
  </si>
  <si>
    <t>5 years</t>
  </si>
  <si>
    <t>LTM Operating model</t>
  </si>
  <si>
    <t>LTM Revenue</t>
  </si>
  <si>
    <t>Value Creation Levers:</t>
  </si>
  <si>
    <t>LTM EBITDA</t>
  </si>
  <si>
    <t>• Revenue growth driven by cybersecurity demand</t>
  </si>
  <si>
    <t>EBITDA Margin</t>
  </si>
  <si>
    <t>• EBITDA margin expansion via operating leverage</t>
  </si>
  <si>
    <t>• Rapid deleveraging through strong FCF</t>
  </si>
  <si>
    <t>• Stable exit multiple (no expansion assumed)</t>
  </si>
  <si>
    <t>Target IRR</t>
  </si>
  <si>
    <t>Target MOIC</t>
  </si>
  <si>
    <t>Entry Valuations</t>
  </si>
  <si>
    <t>Entry EBITDA Multiple</t>
  </si>
  <si>
    <t>Enterprise Value</t>
  </si>
  <si>
    <t xml:space="preserve">Net Debt Assumed </t>
  </si>
  <si>
    <t>Equity Purchase Price</t>
  </si>
  <si>
    <t>Equity Contribution</t>
  </si>
  <si>
    <t>Financing Mix</t>
  </si>
  <si>
    <t>Debt</t>
  </si>
  <si>
    <t xml:space="preserve">Equity </t>
  </si>
  <si>
    <t>Outputs</t>
  </si>
  <si>
    <t>Total Debt</t>
  </si>
  <si>
    <t>Total Equity</t>
  </si>
  <si>
    <t>Operating Assumptions</t>
  </si>
  <si>
    <t>Metrics</t>
  </si>
  <si>
    <t>LTM Base Year</t>
  </si>
  <si>
    <t>2022E</t>
  </si>
  <si>
    <t>2023E</t>
  </si>
  <si>
    <t>20245E</t>
  </si>
  <si>
    <t>2025E</t>
  </si>
  <si>
    <t>2026E</t>
  </si>
  <si>
    <t>Revenue Growth Rate</t>
  </si>
  <si>
    <t xml:space="preserve">Revenue   </t>
  </si>
  <si>
    <t>EBITDA Margin Growth</t>
  </si>
  <si>
    <t xml:space="preserve">EBITDA  </t>
  </si>
  <si>
    <t>CapEx (% of Revenue)</t>
  </si>
  <si>
    <t>Cash Tax Rate</t>
  </si>
  <si>
    <t>Change in NWC</t>
  </si>
  <si>
    <t>Mertics</t>
  </si>
  <si>
    <t>Values</t>
  </si>
  <si>
    <t>Ratioale</t>
  </si>
  <si>
    <t>Revenue Growth CGAR</t>
  </si>
  <si>
    <t>Reduced by 1.5 %</t>
  </si>
  <si>
    <t>Assumes continued enterprise cybersecurity spend and customer retention</t>
  </si>
  <si>
    <t>EBITDA Grwoth CGAR</t>
  </si>
  <si>
    <t>31% - 35%</t>
  </si>
  <si>
    <t>Margin expansion driven by scale efficiencies and cost discipline</t>
  </si>
  <si>
    <t>Capex</t>
  </si>
  <si>
    <t>Change in Nwc</t>
  </si>
  <si>
    <t xml:space="preserve">Cash Tax Rate </t>
  </si>
  <si>
    <t>LTM 2021</t>
  </si>
  <si>
    <t>2024E</t>
  </si>
  <si>
    <t>Revenue</t>
  </si>
  <si>
    <t>Revenue Growth</t>
  </si>
  <si>
    <t>EBITDA</t>
  </si>
  <si>
    <t>CapEx</t>
  </si>
  <si>
    <t>CapEx(% Of Revenue)</t>
  </si>
  <si>
    <t>Cash Tax Rate (% of Revenue)</t>
  </si>
  <si>
    <t>Free Cash Flow</t>
  </si>
  <si>
    <t>Multiple Commentary:</t>
  </si>
  <si>
    <t>• Entry multiple in line with large-cap cybersecurity transactions</t>
  </si>
  <si>
    <t>• Exit multiple assumes no expansion relative to entry</t>
  </si>
  <si>
    <t xml:space="preserve">Summary </t>
  </si>
  <si>
    <t>Entry EBITDA</t>
  </si>
  <si>
    <t>Entry EV</t>
  </si>
  <si>
    <t>Entry EV / EBITDA</t>
  </si>
  <si>
    <t>9.0x</t>
  </si>
  <si>
    <t>Exit EBITDA (2026E)</t>
  </si>
  <si>
    <t>Exit EV</t>
  </si>
  <si>
    <t>Exit EV / EBITDA</t>
  </si>
  <si>
    <t>8.0x</t>
  </si>
  <si>
    <t>Purchase of Equity</t>
  </si>
  <si>
    <t>Entry Leverage Metrics</t>
  </si>
  <si>
    <t>Transaction Fees</t>
  </si>
  <si>
    <t>Total Debt/ EBITDA</t>
  </si>
  <si>
    <t>4.95 x</t>
  </si>
  <si>
    <t>Trasaction Fees (% of EV)</t>
  </si>
  <si>
    <t>Debt / Enterprise</t>
  </si>
  <si>
    <t>Total Uses</t>
  </si>
  <si>
    <t>Sources Of fund</t>
  </si>
  <si>
    <t>Term Loan B</t>
  </si>
  <si>
    <t>Subordinated Notes</t>
  </si>
  <si>
    <t>Sponsor Equity</t>
  </si>
  <si>
    <t>Total Sources</t>
  </si>
  <si>
    <t>2021A</t>
  </si>
  <si>
    <t>Beginning Revenue</t>
  </si>
  <si>
    <t>Organic Grtoqth Percentage</t>
  </si>
  <si>
    <t>Incremental Revenue</t>
  </si>
  <si>
    <t>Ending Revenue</t>
  </si>
  <si>
    <t>Ending Revnue</t>
  </si>
  <si>
    <t>EBITDA Margin%</t>
  </si>
  <si>
    <t>EBITDA expansion reflects operating leverage and disciplined cost management.</t>
  </si>
  <si>
    <t xml:space="preserve">EBITDA   </t>
  </si>
  <si>
    <t>Cash Taxes</t>
  </si>
  <si>
    <t>Cash flow excludes discretionary acquisitions and assumes steady-state working capital.</t>
  </si>
  <si>
    <t>Mertrics</t>
  </si>
  <si>
    <t>2022E First full Year after Post- Close</t>
  </si>
  <si>
    <t>Opening Balance</t>
  </si>
  <si>
    <t xml:space="preserve">Mandatory Ammortization. </t>
  </si>
  <si>
    <t>Mandatory Ammortization(%)</t>
  </si>
  <si>
    <t>Remaning after Ammortization</t>
  </si>
  <si>
    <t>Optional Cash Sweep</t>
  </si>
  <si>
    <t>Total Pricipal Repayment</t>
  </si>
  <si>
    <t>Ending balance</t>
  </si>
  <si>
    <t>No covenant breaches assumed throughout projection period.</t>
  </si>
  <si>
    <t>Exit Year</t>
  </si>
  <si>
    <t>Exit EBITDA Multiple</t>
  </si>
  <si>
    <t>2026 Exit EBITDA</t>
  </si>
  <si>
    <t>Exit Enterprise Value</t>
  </si>
  <si>
    <t>Exit Debt</t>
  </si>
  <si>
    <t>Exit Cash</t>
  </si>
  <si>
    <t>Exit Equity Value</t>
  </si>
  <si>
    <t>Scenario</t>
  </si>
  <si>
    <t>Exit Multiple</t>
  </si>
  <si>
    <t>Low</t>
  </si>
  <si>
    <t>7.5x</t>
  </si>
  <si>
    <t>Base</t>
  </si>
  <si>
    <t>High</t>
  </si>
  <si>
    <t>8.5x</t>
  </si>
  <si>
    <t>Final Thoughts:</t>
  </si>
  <si>
    <t>I calculate exit equity value by applying an exit multiple to final-year EBITDA and subtracting net debt outstanding at exit.</t>
  </si>
  <si>
    <t>Exit assumes stable trading environment with no multiple expansion.</t>
  </si>
  <si>
    <t>Equity Contributions</t>
  </si>
  <si>
    <t>Dividents/ Distributions</t>
  </si>
  <si>
    <t>Exit Equity Proceeds</t>
  </si>
  <si>
    <t>Net Equity Cash Flow</t>
  </si>
  <si>
    <t>IRR</t>
  </si>
  <si>
    <t>MOIC</t>
  </si>
  <si>
    <t>Sensitivity Senario</t>
  </si>
  <si>
    <t>Exit Multiples</t>
  </si>
  <si>
    <t>MoIC</t>
  </si>
  <si>
    <t>8.5X</t>
  </si>
  <si>
    <t>8.0X</t>
  </si>
  <si>
    <t>7.5X</t>
  </si>
  <si>
    <t>7.0X</t>
  </si>
  <si>
    <t>Final Thoughts</t>
  </si>
  <si>
    <t>Even at a 7.0× exit multiple, the deal generates ~24% IRR and ~2.9× MoIC, which indicates that value creation is driven by operational improvements and deleveraging rather than multiple expansion.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</si>
</sst>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>
    <font>
      <sz val="12"/>
      <color theme="1"/>
      <name val="TimesNewRomanPSMT"/>
      <family val="2"/>
    </font>
    <font>
      <sz val="12"/>
      <color theme="1"/>
      <name val="TimesNewRomanPSMT"/>
      <family val="2"/>
    </font>
    <font>
      <b/>
      <sz val="12"/>
      <color rgb="FF000000"/>
      <name val="TimesNewRomanPSMT"/>
    </font>
    <font>
      <sz val="12"/>
      <color rgb="FF002060"/>
      <name val="TimesNewRomanPSMT"/>
      <family val="2"/>
    </font>
    <font>
      <b/>
      <sz val="12"/>
      <color theme="1"/>
      <name val="TimesNewRomanPSMT"/>
      <family val="2"/>
    </font>
    <font>
      <b/>
      <sz val="12"/>
      <color rgb="FF000000"/>
      <name val="TimesNewRomanPSMT"/>
      <family val="2"/>
    </font>
    <font>
      <b/>
      <sz val="12"/>
      <color rgb="FF002060"/>
      <name val="TimesNewRomanPSMT"/>
      <family val="2"/>
    </font>
    <font>
      <sz val="12"/>
      <color theme="0"/>
      <name val="TimesNewRomanPSMT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4">
    <xf numFmtId="0" fontId="0" fillId="0" borderId="0" xfId="0"/>
    <xf numFmtId="9" fontId="0" fillId="0" borderId="0" xfId="1" applyFont="1"/>
    <xf numFmtId="10" fontId="0" fillId="0" borderId="0" xfId="0" applyNumberFormat="1"/>
    <xf numFmtId="9" fontId="0" fillId="0" borderId="0" xfId="0" applyNumberFormat="1"/>
    <xf numFmtId="1" fontId="0" fillId="0" borderId="0" xfId="0" applyNumberFormat="1"/>
    <xf numFmtId="0" fontId="2" fillId="0" borderId="0" xfId="0" applyFont="1"/>
    <xf numFmtId="0" fontId="3" fillId="0" borderId="0" xfId="0" applyFont="1"/>
    <xf numFmtId="1" fontId="3" fillId="0" borderId="0" xfId="0" applyNumberFormat="1" applyFont="1"/>
    <xf numFmtId="0" fontId="4" fillId="0" borderId="0" xfId="0" applyFont="1"/>
    <xf numFmtId="10" fontId="4" fillId="0" borderId="0" xfId="0" applyNumberFormat="1" applyFont="1"/>
    <xf numFmtId="10" fontId="5" fillId="0" borderId="0" xfId="0" applyNumberFormat="1" applyFont="1"/>
    <xf numFmtId="9" fontId="4" fillId="0" borderId="0" xfId="0" applyNumberFormat="1" applyFont="1"/>
    <xf numFmtId="164" fontId="6" fillId="0" borderId="0" xfId="0" applyNumberFormat="1" applyFont="1"/>
    <xf numFmtId="2" fontId="6" fillId="0" borderId="0" xfId="0" applyNumberFormat="1" applyFont="1"/>
    <xf numFmtId="0" fontId="6" fillId="0" borderId="0" xfId="0" applyFont="1"/>
    <xf numFmtId="1" fontId="6" fillId="0" borderId="0" xfId="0" applyNumberFormat="1" applyFont="1"/>
    <xf numFmtId="0" fontId="7" fillId="0" borderId="0" xfId="0" applyFont="1"/>
    <xf numFmtId="9" fontId="6" fillId="2" borderId="0" xfId="0" applyNumberFormat="1" applyFont="1" applyFill="1"/>
    <xf numFmtId="0" fontId="6" fillId="2" borderId="0" xfId="0" applyFont="1" applyFill="1"/>
    <xf numFmtId="0" fontId="0" fillId="2" borderId="0" xfId="0" applyFill="1"/>
    <xf numFmtId="9" fontId="0" fillId="2" borderId="0" xfId="0" applyNumberFormat="1" applyFill="1"/>
    <xf numFmtId="4" fontId="4" fillId="0" borderId="0" xfId="0" applyNumberFormat="1" applyFont="1"/>
    <xf numFmtId="0" fontId="4" fillId="2" borderId="0" xfId="0" applyFont="1" applyFill="1"/>
    <xf numFmtId="4" fontId="4" fillId="2" borderId="0" xfId="0" applyNumberFormat="1" applyFont="1" applyFill="1"/>
  </cellXfs>
  <cellStyles count="2">
    <cellStyle name="Normal" xfId="0" builtinId="0"/>
    <cellStyle name="Percent" xfId="1" builtinId="5"/>
  </cellStyles>
  <dxfs count="34">
    <dxf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NewRomanPSMT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NewRomanPSMT"/>
        <family val="2"/>
        <scheme val="none"/>
      </font>
      <numFmt numFmtId="4" formatCode="#,##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NewRomanPSMT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NewRomanPSMT"/>
        <family val="2"/>
        <scheme val="none"/>
      </font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NewRomanPSMT"/>
        <family val="2"/>
        <scheme val="none"/>
      </font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NewRomanPSMT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NewRomanPSMT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NewRomanPSMT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NewRomanPSMT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NewRomanPSMT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2060"/>
        <name val="TimesNewRomanPSMT"/>
        <family val="2"/>
        <scheme val="none"/>
      </font>
      <numFmt numFmtId="2" formatCode="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2060"/>
        <name val="TimesNewRomanPSMT"/>
        <family val="2"/>
        <scheme val="none"/>
      </font>
      <numFmt numFmtId="2" formatCode="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2060"/>
        <name val="TimesNewRomanPSMT"/>
        <family val="2"/>
        <scheme val="none"/>
      </font>
      <numFmt numFmtId="2" formatCode="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2060"/>
        <name val="TimesNewRomanPSMT"/>
        <family val="2"/>
        <scheme val="none"/>
      </font>
      <numFmt numFmtId="2" formatCode="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2060"/>
        <name val="TimesNewRomanPSMT"/>
        <family val="2"/>
        <scheme val="none"/>
      </font>
      <numFmt numFmtId="2" formatCode="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NewRomanPSMT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NewRomanPSMT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2060"/>
        <name val="TimesNewRomanPSMT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NewRomanPSMT"/>
        <family val="2"/>
        <scheme val="none"/>
      </font>
    </dxf>
    <dxf>
      <numFmt numFmtId="13" formatCode="0%"/>
    </dxf>
    <dxf>
      <numFmt numFmtId="13" formatCode="0%"/>
    </dxf>
    <dxf>
      <numFmt numFmtId="13" formatCode="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B137287-A468-414F-9BC8-592D611DB012}" name="Table1" displayName="Table1" ref="A5:B11" headerRowCount="0" totalsRowShown="0">
  <tableColumns count="2">
    <tableColumn id="1" xr3:uid="{6F87B0E8-ACDB-457A-A129-7F92FEF52F8C}" name="Column1"/>
    <tableColumn id="2" xr3:uid="{6947BC61-7F80-4977-AC86-3BB2594E1A08}" name="Column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93F3AE7-2541-4F7A-88F1-DF8BB86742CD}" name="Table2" displayName="Table2" ref="A15:B17" headerRowCount="0" totalsRowShown="0">
  <tableColumns count="2">
    <tableColumn id="1" xr3:uid="{D38F72C2-2857-42B9-962C-990D42A6A9DA}" name="Metrics "/>
    <tableColumn id="2" xr3:uid="{5FD00009-321A-450D-8F7A-5F81A7C674A1}" name="Valu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A6D04FF-791F-436C-A151-3ED7FD3FC073}" name="Table3" displayName="Table3" ref="A24:B28" headerRowCount="0" totalsRowShown="0">
  <tableColumns count="2">
    <tableColumn id="1" xr3:uid="{5BA739D9-8DA8-4356-8CB4-345081387689}" name="Column1"/>
    <tableColumn id="2" xr3:uid="{577D3F38-3711-48EB-8D16-695521F537F3}" name="Column2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BBB5936-F691-4776-BAD8-829E52D188BA}" name="Table4" displayName="Table4" ref="A32:B38" headerRowCount="0" totalsRowShown="0">
  <tableColumns count="2">
    <tableColumn id="1" xr3:uid="{130AF8CD-8285-42C1-9286-942463A5A35D}" name="Column1"/>
    <tableColumn id="2" xr3:uid="{819F5A7D-1247-45DA-867B-12D54CAEB765}" name="Column2" headerRowDxfId="33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5E9A64E2-027C-4A8F-B3FB-9D35C4AC155B}" name="Table15" displayName="Table15" ref="A3:B3" headerRowCount="0" totalsRowShown="0">
  <tableColumns count="2">
    <tableColumn id="1" xr3:uid="{DA991AFB-8EB1-4A44-B1DE-2832175040BE}" name="Column1"/>
    <tableColumn id="2" xr3:uid="{E0B9937D-0A7A-41C3-912D-3C5AE9318B7B}" name="Column2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34D6261A-BF04-4874-B09F-54F3305C1D0B}" name="Table16" displayName="Table16" ref="A20:B21" headerRowCount="0" totalsRowShown="0">
  <tableColumns count="2">
    <tableColumn id="1" xr3:uid="{E32434E1-3DA6-432F-AF6A-25E0C5127D79}" name="Column1"/>
    <tableColumn id="2" xr3:uid="{1A9151A0-9EF0-4F9F-8DAD-364C439CF2EC}" name="Column2" headerRowDxfId="32" dataDxfId="31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11B1397-1DE2-4D6D-A620-D51E73C1CC51}" name="Table5" displayName="Table5" ref="A3:G14" totalsRowShown="0">
  <autoFilter ref="A3:G14" xr:uid="{211B1397-1DE2-4D6D-A620-D51E73C1CC51}"/>
  <tableColumns count="7">
    <tableColumn id="1" xr3:uid="{DB722F5E-4A98-400D-8E89-B9CA29C3D6F6}" name="Metrics"/>
    <tableColumn id="2" xr3:uid="{DA5D3CAB-5449-43EC-B4FC-7E59982CBA32}" name="LTM Base Year"/>
    <tableColumn id="3" xr3:uid="{74F2A5D8-00DE-4D83-A470-188CB202A1BB}" name="2022E"/>
    <tableColumn id="4" xr3:uid="{5F109CEC-591E-4951-A872-211DAF2EB0CC}" name="2023E"/>
    <tableColumn id="5" xr3:uid="{5FE8B1F7-C4BF-45D0-806B-480ED741CA65}" name="20245E"/>
    <tableColumn id="6" xr3:uid="{1DCF020E-37B4-4413-B6E1-F64BDF5C508A}" name="2025E"/>
    <tableColumn id="7" xr3:uid="{CBEC92DC-EB97-4FFB-BD9A-6D09EDDD9873}" name="2026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055007B-BFD1-44E9-A8FD-41943C202651}" name="Table6" displayName="Table6" ref="A2:G11" totalsRowShown="0" headerRowDxfId="30" dataDxfId="29">
  <autoFilter ref="A2:G11" xr:uid="{D055007B-BFD1-44E9-A8FD-41943C202651}"/>
  <tableColumns count="7">
    <tableColumn id="1" xr3:uid="{18C2CBC6-DD88-4CF7-9A40-DA4FA32B7749}" name="Metrics" dataDxfId="28"/>
    <tableColumn id="2" xr3:uid="{01F79688-CFA0-4AEB-B892-616849585CE0}" name="LTM 2021" dataDxfId="27"/>
    <tableColumn id="3" xr3:uid="{8E777788-4CD4-43EC-97DA-B82A427E352C}" name="2022E" dataDxfId="26"/>
    <tableColumn id="4" xr3:uid="{64F0A8BE-B4CF-43CF-B5E4-8D0AB985595F}" name="2023E" dataDxfId="25"/>
    <tableColumn id="5" xr3:uid="{5418B11D-1EC4-4E8D-BC10-183422031BB1}" name="2024E" dataDxfId="24"/>
    <tableColumn id="6" xr3:uid="{C0BD7D44-0529-4399-B995-B97B7993BD8D}" name="2025E" dataDxfId="23"/>
    <tableColumn id="7" xr3:uid="{49F6C25B-0ACA-4F41-9FAB-41A0FDB53AE9}" name="2026E" dataDxfId="22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9EFAABE-6B73-486E-8B18-24A698A8FBFF}" name="Table17" displayName="Table17" ref="A19:B24" headerRowCount="0" totalsRowShown="0" headerRowDxfId="21">
  <tableColumns count="2">
    <tableColumn id="1" xr3:uid="{C33E846D-A607-4D10-BA72-ED5AA6ECE040}" name="Metric" headerRowDxfId="20"/>
    <tableColumn id="2" xr3:uid="{CB76F177-6E97-41C8-93A1-C10B048350C6}" name="Value" headerRowDxfId="19" dataDxfId="18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28999A7-B7EA-4D53-87EA-C2EB8D26B7AE}" name="Table7" displayName="Table7" ref="A3:B14" headerRowCount="0" totalsRowShown="0">
  <tableColumns count="2">
    <tableColumn id="1" xr3:uid="{CA5FA6A9-1CF9-4C32-823C-C7DF93FA61C4}" name="Column1"/>
    <tableColumn id="2" xr3:uid="{C823834F-D91C-419D-B71A-F5E040C5398F}" name="Column2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8DCCBEB0-2004-4D29-BB9B-2AB3A6D6D8E3}" name="Table18" displayName="Table18" ref="D3:E6" totalsRowShown="0">
  <autoFilter ref="D3:E6" xr:uid="{8DCCBEB0-2004-4D29-BB9B-2AB3A6D6D8E3}"/>
  <tableColumns count="2">
    <tableColumn id="1" xr3:uid="{207DF091-8492-4410-B4B9-0ACD64E719D3}" name="Entry Leverage Metrics"/>
    <tableColumn id="2" xr3:uid="{4D0D1176-B800-4C9B-8FD0-DBE588100CCC}" name="Values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CDC14AC9-3927-43B9-93B3-D0079978A059}" name="Table8" displayName="Table8" ref="A2:G6" totalsRowShown="0">
  <autoFilter ref="A2:G6" xr:uid="{CDC14AC9-3927-43B9-93B3-D0079978A059}"/>
  <tableColumns count="7">
    <tableColumn id="1" xr3:uid="{80960521-5C7A-4962-ADFC-32C190745F9B}" name="Metrics"/>
    <tableColumn id="2" xr3:uid="{44176288-7A1D-459E-BACA-E9B6C8042C24}" name="2021A"/>
    <tableColumn id="3" xr3:uid="{29BC6095-0C9D-41CD-9460-F852E58199BA}" name="2022E"/>
    <tableColumn id="4" xr3:uid="{88DAE878-ED45-42E1-9E8F-38354941EFC0}" name="2023E"/>
    <tableColumn id="5" xr3:uid="{B8F64041-9514-47DB-A76F-F48B79B408E8}" name="2024E"/>
    <tableColumn id="6" xr3:uid="{9EAFA48B-9FE4-4763-8944-059ACB9CA4C1}" name="2025E"/>
    <tableColumn id="7" xr3:uid="{EF74C2CB-93E1-457A-BAA6-D081FF5417E8}" name="2026E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88D7E462-D80B-45B5-9199-13E188E44BA8}" name="Table9" displayName="Table9" ref="A8:G11" totalsRowShown="0">
  <autoFilter ref="A8:G11" xr:uid="{88D7E462-D80B-45B5-9199-13E188E44BA8}"/>
  <tableColumns count="7">
    <tableColumn id="1" xr3:uid="{ABDC5727-2677-4794-B485-1E9A3B80015A}" name="Metrics"/>
    <tableColumn id="2" xr3:uid="{A8ECCD29-F665-44A2-A715-A57A386846DC}" name="2021A"/>
    <tableColumn id="3" xr3:uid="{2CE318F8-E99A-4536-9280-E968BF2D8507}" name="2022E"/>
    <tableColumn id="4" xr3:uid="{69CDB169-7A18-438C-AA3B-63D9216D7A21}" name="2023E"/>
    <tableColumn id="5" xr3:uid="{992DF7A4-334C-4B1D-809A-A0381E7B80EA}" name="2024E"/>
    <tableColumn id="6" xr3:uid="{0F292ED2-CD6B-4B3E-BAB7-3CFC5E614812}" name="2025E"/>
    <tableColumn id="7" xr3:uid="{317A2941-FD29-4E91-911A-5CDE24C6E244}" name="2026E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7AC9CE9D-88D2-43A7-8C94-BEE45478F921}" name="Table10" displayName="Table10" ref="A2:G7" totalsRowShown="0" headerRowDxfId="17">
  <autoFilter ref="A2:G7" xr:uid="{7AC9CE9D-88D2-43A7-8C94-BEE45478F921}"/>
  <tableColumns count="7">
    <tableColumn id="1" xr3:uid="{1F5D4C70-7426-4491-9BDA-69AC5F6B6686}" name="Metrics"/>
    <tableColumn id="2" xr3:uid="{CB360A5E-9ACE-464E-80A2-EA48457A81EA}" name="2021A"/>
    <tableColumn id="3" xr3:uid="{AA0F22CB-DBA4-4FCD-B914-F32D8DBD522C}" name="2022E" dataDxfId="16"/>
    <tableColumn id="4" xr3:uid="{1827299A-088B-4F35-8368-73C220F2E268}" name="2023E" dataDxfId="15"/>
    <tableColumn id="5" xr3:uid="{3C5B24C9-FD8D-44FA-AAAA-4825FAA94FFE}" name="2024E" dataDxfId="14"/>
    <tableColumn id="6" xr3:uid="{FB23BD57-E5FD-4E2A-AAB4-6942D8DD50F8}" name="2025E" dataDxfId="13"/>
    <tableColumn id="7" xr3:uid="{79DBB009-E7CF-42DC-B51A-4886DDF496BA}" name="2026E" dataDxfId="12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812C48F3-436E-492B-A818-F38326C81C0C}" name="Table11" displayName="Table11" ref="A2:G9" totalsRowShown="0" headerRowDxfId="11">
  <autoFilter ref="A2:G9" xr:uid="{812C48F3-436E-492B-A818-F38326C81C0C}"/>
  <tableColumns count="7">
    <tableColumn id="1" xr3:uid="{E8DB2CC7-EC42-4057-B5F4-C9BEE868E472}" name="Mertrics"/>
    <tableColumn id="2" xr3:uid="{ED048922-72A2-4289-A9D7-C110FC97843D}" name="2021A"/>
    <tableColumn id="3" xr3:uid="{45D58743-9B21-4276-BB66-4D36EF03CAE7}" name="2022E First full Year after Post- Close" dataDxfId="10"/>
    <tableColumn id="4" xr3:uid="{EAAD0D35-6369-4F6E-9AD1-7A97A25716AF}" name="2023E" dataDxfId="9"/>
    <tableColumn id="5" xr3:uid="{074836A3-5A09-4C76-BB0F-C3704564976F}" name="2024E" dataDxfId="8"/>
    <tableColumn id="6" xr3:uid="{B6C3C0F2-ABBF-45E2-ACCA-A4D06D14AED1}" name="2025E" dataDxfId="7"/>
    <tableColumn id="7" xr3:uid="{92B1F78B-B78F-4355-A062-F36955C761F3}" name="2026E" dataDxfId="6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E61CD21-5A2F-4E19-9974-AEA445286429}" name="Table12" displayName="Table12" ref="A3:B9" headerRowCount="0" totalsRowShown="0">
  <tableColumns count="2">
    <tableColumn id="1" xr3:uid="{D28AAE06-7F6A-44F3-95EC-3D289EE8F25E}" name="Column1"/>
    <tableColumn id="2" xr3:uid="{E8506DF5-CF0D-4FA3-B998-59190F08DCA6}" name="Column2" dataDxfId="5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A0C804E4-9E5D-4C93-8D7F-E6B38F3980E5}" name="Table19" displayName="Table19" ref="A11:C14" totalsRowShown="0" headerRowDxfId="4">
  <autoFilter ref="A11:C14" xr:uid="{A0C804E4-9E5D-4C93-8D7F-E6B38F3980E5}"/>
  <tableColumns count="3">
    <tableColumn id="1" xr3:uid="{5A96376C-5051-4ADF-8F45-0B9A251E9DDE}" name="Scenario"/>
    <tableColumn id="2" xr3:uid="{1FC0B75D-4C61-4B2E-97F4-5DFDC1E1D690}" name="Exit Multiple" dataDxfId="3"/>
    <tableColumn id="3" xr3:uid="{34162FC3-42DF-43C9-B392-1BE2CD80DFB1}" name="Exit EV" dataDxfId="2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FA0BC506-90F5-4D9D-A964-A8F57967D3C4}" name="Table13" displayName="Table13" ref="A2:G6" totalsRowShown="0" headerRowDxfId="1">
  <autoFilter ref="A2:G6" xr:uid="{FA0BC506-90F5-4D9D-A964-A8F57967D3C4}"/>
  <tableColumns count="7">
    <tableColumn id="1" xr3:uid="{B7702869-DB97-4631-BE04-6CB551060E73}" name="Metrics"/>
    <tableColumn id="2" xr3:uid="{3C3A3F66-7478-4841-8B19-D646E92927A1}" name="2021A"/>
    <tableColumn id="3" xr3:uid="{D18BD4F1-303D-4E79-B164-72BCF8CF4FF3}" name="2022E"/>
    <tableColumn id="4" xr3:uid="{07DF39FC-BAE6-4EB2-A9B9-06D1D59C3201}" name="2023E"/>
    <tableColumn id="5" xr3:uid="{D798F789-9BF3-4874-9030-113E355F4C36}" name="2024E"/>
    <tableColumn id="6" xr3:uid="{F71F38EC-E597-48F7-A409-C2652B1D69AA}" name="2025E"/>
    <tableColumn id="7" xr3:uid="{C396D323-37ED-4E44-BE8F-CBDB32ADFAB7}" name="2026E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5526590A-FD8F-4B97-9F2A-F3FD14B15B72}" name="Table14" displayName="Table14" ref="A14:C18" totalsRowShown="0">
  <autoFilter ref="A14:C18" xr:uid="{5526590A-FD8F-4B97-9F2A-F3FD14B15B72}"/>
  <tableColumns count="3">
    <tableColumn id="1" xr3:uid="{33097CAD-D49C-4230-86AA-C8823F207256}" name="Exit Multiples"/>
    <tableColumn id="2" xr3:uid="{5250077F-0EAD-48E2-A08A-369249222489}" name="IRR" dataDxfId="0"/>
    <tableColumn id="3" xr3:uid="{3CEA6169-6C8B-45CD-B740-1435FFE151B7}" name="MoIC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table" Target="../tables/table8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table" Target="../tables/table10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3.xml"/><Relationship Id="rId1" Type="http://schemas.openxmlformats.org/officeDocument/2006/relationships/table" Target="../tables/table1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7.xml"/><Relationship Id="rId1" Type="http://schemas.openxmlformats.org/officeDocument/2006/relationships/table" Target="../tables/table16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9.xml"/><Relationship Id="rId1" Type="http://schemas.openxmlformats.org/officeDocument/2006/relationships/table" Target="../tables/table1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8A483F-9146-FF41-A313-E7777F910815}">
  <dimension ref="A1:D47"/>
  <sheetViews>
    <sheetView topLeftCell="A15" workbookViewId="0">
      <selection activeCell="G11" sqref="G11"/>
    </sheetView>
  </sheetViews>
  <sheetFormatPr defaultColWidth="11.5546875" defaultRowHeight="15.95"/>
  <cols>
    <col min="1" max="1" width="23.6640625" customWidth="1"/>
    <col min="2" max="2" width="31.77734375" customWidth="1"/>
    <col min="4" max="4" width="36.88671875" customWidth="1"/>
  </cols>
  <sheetData>
    <row r="1" spans="1:4" ht="15"/>
    <row r="2" spans="1:4" ht="15"/>
    <row r="3" spans="1:4" ht="15">
      <c r="A3" t="s">
        <v>0</v>
      </c>
      <c r="B3" t="s">
        <v>1</v>
      </c>
    </row>
    <row r="4" spans="1:4" ht="15"/>
    <row r="5" spans="1:4">
      <c r="A5" t="s">
        <v>2</v>
      </c>
      <c r="B5" t="s">
        <v>3</v>
      </c>
    </row>
    <row r="6" spans="1:4">
      <c r="A6" t="s">
        <v>4</v>
      </c>
      <c r="B6" t="s">
        <v>5</v>
      </c>
    </row>
    <row r="7" spans="1:4">
      <c r="A7" t="s">
        <v>6</v>
      </c>
      <c r="B7" t="s">
        <v>7</v>
      </c>
    </row>
    <row r="8" spans="1:4">
      <c r="A8" t="s">
        <v>8</v>
      </c>
      <c r="B8">
        <v>2021</v>
      </c>
    </row>
    <row r="9" spans="1:4">
      <c r="A9" t="s">
        <v>9</v>
      </c>
      <c r="B9" t="s">
        <v>10</v>
      </c>
    </row>
    <row r="10" spans="1:4">
      <c r="A10" t="s">
        <v>11</v>
      </c>
      <c r="B10" t="s">
        <v>12</v>
      </c>
    </row>
    <row r="11" spans="1:4">
      <c r="A11" t="s">
        <v>13</v>
      </c>
      <c r="B11" t="s">
        <v>14</v>
      </c>
    </row>
    <row r="13" spans="1:4" ht="15.75">
      <c r="A13" s="5" t="s">
        <v>15</v>
      </c>
    </row>
    <row r="14" spans="1:4" ht="15"/>
    <row r="15" spans="1:4" ht="15.75">
      <c r="A15" t="s">
        <v>16</v>
      </c>
      <c r="B15">
        <v>1050</v>
      </c>
      <c r="D15" s="5" t="s">
        <v>17</v>
      </c>
    </row>
    <row r="16" spans="1:4">
      <c r="A16" t="s">
        <v>18</v>
      </c>
      <c r="B16">
        <v>315</v>
      </c>
      <c r="D16" t="s">
        <v>19</v>
      </c>
    </row>
    <row r="17" spans="1:4">
      <c r="A17" t="s">
        <v>20</v>
      </c>
      <c r="B17" s="1">
        <f>B16/B15</f>
        <v>0.3</v>
      </c>
      <c r="D17" t="s">
        <v>21</v>
      </c>
    </row>
    <row r="18" spans="1:4" ht="15">
      <c r="B18" s="3"/>
      <c r="D18" t="s">
        <v>22</v>
      </c>
    </row>
    <row r="19" spans="1:4" ht="15">
      <c r="D19" t="s">
        <v>23</v>
      </c>
    </row>
    <row r="20" spans="1:4" ht="15">
      <c r="A20" t="s">
        <v>24</v>
      </c>
      <c r="B20" s="3">
        <v>0.25</v>
      </c>
    </row>
    <row r="21" spans="1:4" ht="15">
      <c r="A21" t="s">
        <v>25</v>
      </c>
      <c r="B21" s="3">
        <v>3.3000000000000002E-2</v>
      </c>
    </row>
    <row r="22" spans="1:4" ht="15.75">
      <c r="A22" s="5" t="s">
        <v>26</v>
      </c>
    </row>
    <row r="23" spans="1:4" ht="15"/>
    <row r="24" spans="1:4" ht="15">
      <c r="A24" t="s">
        <v>27</v>
      </c>
      <c r="B24">
        <v>9</v>
      </c>
    </row>
    <row r="25" spans="1:4" ht="15">
      <c r="A25" t="s">
        <v>28</v>
      </c>
      <c r="B25">
        <f>B24*B16</f>
        <v>2835</v>
      </c>
    </row>
    <row r="26" spans="1:4" ht="15">
      <c r="A26" t="s">
        <v>29</v>
      </c>
      <c r="B26">
        <v>0</v>
      </c>
    </row>
    <row r="27" spans="1:4" ht="15">
      <c r="A27" t="s">
        <v>30</v>
      </c>
      <c r="B27">
        <f>B25-B26</f>
        <v>2835</v>
      </c>
    </row>
    <row r="28" spans="1:4" ht="15">
      <c r="A28" t="s">
        <v>31</v>
      </c>
      <c r="B28">
        <v>1332.5</v>
      </c>
    </row>
    <row r="29" spans="1:4" ht="15"/>
    <row r="30" spans="1:4" ht="15.75">
      <c r="A30" s="5" t="s">
        <v>32</v>
      </c>
    </row>
    <row r="31" spans="1:4" ht="15"/>
    <row r="32" spans="1:4" ht="15">
      <c r="A32" t="s">
        <v>33</v>
      </c>
      <c r="B32" s="3">
        <v>0.6</v>
      </c>
    </row>
    <row r="33" spans="1:2" ht="15">
      <c r="A33" t="s">
        <v>34</v>
      </c>
      <c r="B33" s="3">
        <v>0.4</v>
      </c>
    </row>
    <row r="34" spans="1:2" ht="15"/>
    <row r="35" spans="1:2" ht="15"/>
    <row r="36" spans="1:2" ht="15">
      <c r="A36" t="s">
        <v>35</v>
      </c>
    </row>
    <row r="37" spans="1:2" ht="15">
      <c r="A37" t="s">
        <v>36</v>
      </c>
      <c r="B37">
        <f>B32*B27</f>
        <v>1701</v>
      </c>
    </row>
    <row r="38" spans="1:2" ht="15">
      <c r="A38" t="s">
        <v>37</v>
      </c>
      <c r="B38">
        <f>B33*B27</f>
        <v>1134</v>
      </c>
    </row>
    <row r="39" spans="1:2" ht="15"/>
    <row r="40" spans="1:2" ht="15"/>
    <row r="41" spans="1:2" ht="15"/>
    <row r="42" spans="1:2" ht="15"/>
    <row r="43" spans="1:2" ht="15"/>
    <row r="44" spans="1:2" ht="15"/>
    <row r="45" spans="1:2" ht="15"/>
    <row r="46" spans="1:2" ht="15"/>
    <row r="47" spans="1:2" ht="15"/>
  </sheetData>
  <pageMargins left="0.7" right="0.7" top="0.75" bottom="0.75" header="0.3" footer="0.3"/>
  <tableParts count="6">
    <tablePart r:id="rId1"/>
    <tablePart r:id="rId2"/>
    <tablePart r:id="rId3"/>
    <tablePart r:id="rId4"/>
    <tablePart r:id="rId5"/>
    <tablePart r:id="rId6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E2C81-9EDB-684B-B30F-41482628629C}">
  <dimension ref="A1:G22"/>
  <sheetViews>
    <sheetView workbookViewId="0">
      <selection activeCell="D25" sqref="D25"/>
    </sheetView>
  </sheetViews>
  <sheetFormatPr defaultColWidth="11.5546875" defaultRowHeight="15.95"/>
  <cols>
    <col min="1" max="1" width="19.44140625" customWidth="1"/>
    <col min="2" max="2" width="15.21875" bestFit="1" customWidth="1"/>
    <col min="3" max="3" width="12.6640625" bestFit="1" customWidth="1"/>
  </cols>
  <sheetData>
    <row r="1" spans="1:7" ht="15.75">
      <c r="A1" s="5" t="s">
        <v>38</v>
      </c>
    </row>
    <row r="3" spans="1:7">
      <c r="A3" t="s">
        <v>39</v>
      </c>
      <c r="B3" t="s">
        <v>40</v>
      </c>
      <c r="C3" t="s">
        <v>41</v>
      </c>
      <c r="D3" t="s">
        <v>42</v>
      </c>
      <c r="E3" t="s">
        <v>43</v>
      </c>
      <c r="F3" t="s">
        <v>44</v>
      </c>
      <c r="G3" t="s">
        <v>45</v>
      </c>
    </row>
    <row r="4" spans="1:7">
      <c r="A4" t="s">
        <v>46</v>
      </c>
      <c r="C4" s="2">
        <v>0.09</v>
      </c>
      <c r="D4" s="2">
        <v>0.09</v>
      </c>
      <c r="E4" s="2">
        <v>8.5000000000000006E-2</v>
      </c>
      <c r="F4" s="2">
        <v>0.08</v>
      </c>
      <c r="G4" s="2">
        <v>7.4999999999999997E-2</v>
      </c>
    </row>
    <row r="5" spans="1:7" ht="15">
      <c r="A5" t="s">
        <v>47</v>
      </c>
      <c r="B5">
        <f>'Trasaction Overview '!B15</f>
        <v>1050</v>
      </c>
      <c r="C5" s="6">
        <f>C4*B5+B5</f>
        <v>1144.5</v>
      </c>
      <c r="D5" s="6">
        <f t="shared" ref="D5:G5" si="0">D4*C5+C5</f>
        <v>1247.5050000000001</v>
      </c>
      <c r="E5" s="6">
        <f t="shared" si="0"/>
        <v>1353.5429250000002</v>
      </c>
      <c r="F5" s="6">
        <f t="shared" si="0"/>
        <v>1461.8263590000001</v>
      </c>
      <c r="G5" s="6">
        <f t="shared" si="0"/>
        <v>1571.4633359250001</v>
      </c>
    </row>
    <row r="6" spans="1:7">
      <c r="A6" t="s">
        <v>48</v>
      </c>
      <c r="B6" s="3"/>
      <c r="C6" s="3">
        <v>0.31</v>
      </c>
      <c r="D6" s="3">
        <v>0.32</v>
      </c>
      <c r="E6" s="3">
        <v>0.33</v>
      </c>
      <c r="F6" s="3">
        <v>0.34</v>
      </c>
      <c r="G6" s="3">
        <v>0.35</v>
      </c>
    </row>
    <row r="7" spans="1:7" ht="15">
      <c r="A7" t="s">
        <v>49</v>
      </c>
      <c r="B7">
        <f>'Trasaction Overview '!B16</f>
        <v>315</v>
      </c>
      <c r="C7" s="7">
        <f>C6*C5</f>
        <v>354.79500000000002</v>
      </c>
      <c r="D7" s="7">
        <f t="shared" ref="D7:G7" si="1">D6*D5</f>
        <v>399.20160000000004</v>
      </c>
      <c r="E7" s="7">
        <f t="shared" si="1"/>
        <v>446.66916525000011</v>
      </c>
      <c r="F7" s="7">
        <f t="shared" si="1"/>
        <v>497.0209620600001</v>
      </c>
      <c r="G7" s="7">
        <f t="shared" si="1"/>
        <v>550.01216757375005</v>
      </c>
    </row>
    <row r="9" spans="1:7">
      <c r="A9" t="s">
        <v>50</v>
      </c>
      <c r="C9" s="2">
        <v>1.4999999999999999E-2</v>
      </c>
      <c r="D9" s="2">
        <v>1.4999999999999999E-2</v>
      </c>
      <c r="E9" s="2">
        <v>1.4999999999999999E-2</v>
      </c>
      <c r="F9" s="2">
        <v>1.4999999999999999E-2</v>
      </c>
      <c r="G9" s="2">
        <v>1.4999999999999999E-2</v>
      </c>
    </row>
    <row r="10" spans="1:7">
      <c r="A10" t="s">
        <v>50</v>
      </c>
      <c r="C10">
        <f>C9*C5</f>
        <v>17.1675</v>
      </c>
      <c r="D10">
        <f t="shared" ref="D10:G10" si="2">D9*D5</f>
        <v>18.712575000000001</v>
      </c>
      <c r="E10">
        <f t="shared" si="2"/>
        <v>20.303143875000004</v>
      </c>
      <c r="F10">
        <f t="shared" si="2"/>
        <v>21.927395385000001</v>
      </c>
      <c r="G10">
        <f t="shared" si="2"/>
        <v>23.571950038875002</v>
      </c>
    </row>
    <row r="12" spans="1:7">
      <c r="A12" t="s">
        <v>51</v>
      </c>
      <c r="C12" s="3">
        <v>0.25</v>
      </c>
      <c r="D12" s="3">
        <v>0.25</v>
      </c>
      <c r="E12" s="3">
        <v>0.25</v>
      </c>
      <c r="F12" s="3">
        <v>0.25</v>
      </c>
      <c r="G12" s="3">
        <v>0.25</v>
      </c>
    </row>
    <row r="14" spans="1:7">
      <c r="A14" t="s">
        <v>52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</row>
    <row r="17" spans="1:3" ht="15.75">
      <c r="A17" s="8" t="s">
        <v>53</v>
      </c>
      <c r="B17" s="8" t="s">
        <v>54</v>
      </c>
      <c r="C17" t="s">
        <v>55</v>
      </c>
    </row>
    <row r="18" spans="1:3" ht="15.75">
      <c r="A18" s="8" t="s">
        <v>56</v>
      </c>
      <c r="B18" s="8" t="s">
        <v>57</v>
      </c>
      <c r="C18" t="s">
        <v>58</v>
      </c>
    </row>
    <row r="19" spans="1:3" ht="15.75">
      <c r="A19" s="8" t="s">
        <v>59</v>
      </c>
      <c r="B19" s="8" t="s">
        <v>60</v>
      </c>
      <c r="C19" t="s">
        <v>61</v>
      </c>
    </row>
    <row r="20" spans="1:3" ht="15.75">
      <c r="A20" s="8" t="s">
        <v>62</v>
      </c>
      <c r="B20" s="9">
        <v>1.4999999999999999E-2</v>
      </c>
    </row>
    <row r="21" spans="1:3" ht="15.75">
      <c r="A21" s="8" t="s">
        <v>63</v>
      </c>
      <c r="B21" s="8">
        <v>0</v>
      </c>
    </row>
    <row r="22" spans="1:3" ht="15.75">
      <c r="A22" t="s">
        <v>64</v>
      </c>
      <c r="B22" s="11">
        <v>0.25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C08603-AA7F-BE4F-AD92-CB2135266C65}">
  <dimension ref="A2:G24"/>
  <sheetViews>
    <sheetView workbookViewId="0">
      <selection activeCell="D17" sqref="D17"/>
    </sheetView>
  </sheetViews>
  <sheetFormatPr defaultColWidth="11.5546875" defaultRowHeight="15.95"/>
  <cols>
    <col min="1" max="1" width="31.44140625" customWidth="1"/>
    <col min="2" max="2" width="19.6640625" customWidth="1"/>
    <col min="4" max="4" width="17.88671875" customWidth="1"/>
    <col min="5" max="5" width="19.33203125" customWidth="1"/>
    <col min="6" max="6" width="19.21875" customWidth="1"/>
    <col min="7" max="7" width="17.33203125" customWidth="1"/>
  </cols>
  <sheetData>
    <row r="2" spans="1:7" ht="15.75">
      <c r="A2" s="8" t="s">
        <v>39</v>
      </c>
      <c r="B2" s="8" t="s">
        <v>65</v>
      </c>
      <c r="C2" s="8" t="s">
        <v>41</v>
      </c>
      <c r="D2" s="8" t="s">
        <v>42</v>
      </c>
      <c r="E2" s="8" t="s">
        <v>66</v>
      </c>
      <c r="F2" s="8" t="s">
        <v>44</v>
      </c>
      <c r="G2" s="8" t="s">
        <v>45</v>
      </c>
    </row>
    <row r="3" spans="1:7" ht="15.75">
      <c r="A3" s="8" t="s">
        <v>67</v>
      </c>
      <c r="B3" s="8">
        <v>1050</v>
      </c>
      <c r="C3" s="8">
        <f>C4*B3+B3</f>
        <v>1144.5</v>
      </c>
      <c r="D3" s="8">
        <f t="shared" ref="D3:G3" si="0">D4*C3+C3</f>
        <v>1247.5050000000001</v>
      </c>
      <c r="E3" s="8">
        <f t="shared" si="0"/>
        <v>1353.5429250000002</v>
      </c>
      <c r="F3" s="8">
        <f t="shared" si="0"/>
        <v>1461.8263590000001</v>
      </c>
      <c r="G3" s="8">
        <f t="shared" si="0"/>
        <v>1571.4633359250001</v>
      </c>
    </row>
    <row r="4" spans="1:7" ht="15.75">
      <c r="A4" s="8" t="s">
        <v>68</v>
      </c>
      <c r="B4" s="8"/>
      <c r="C4" s="10">
        <v>0.09</v>
      </c>
      <c r="D4" s="10">
        <v>0.09</v>
      </c>
      <c r="E4" s="10">
        <v>8.5000000000000006E-2</v>
      </c>
      <c r="F4" s="10">
        <v>0.08</v>
      </c>
      <c r="G4" s="10">
        <v>7.4999999999999997E-2</v>
      </c>
    </row>
    <row r="5" spans="1:7" ht="15.75">
      <c r="A5" s="8" t="s">
        <v>69</v>
      </c>
      <c r="B5" s="8">
        <v>315</v>
      </c>
      <c r="C5" s="12">
        <f>C6*C3</f>
        <v>354.79500000000002</v>
      </c>
      <c r="D5" s="12">
        <f t="shared" ref="D5:G5" si="1">D6*D3</f>
        <v>399.20160000000004</v>
      </c>
      <c r="E5" s="12">
        <f t="shared" si="1"/>
        <v>446.66916525000011</v>
      </c>
      <c r="F5" s="12">
        <f t="shared" si="1"/>
        <v>497.0209620600001</v>
      </c>
      <c r="G5" s="12">
        <f t="shared" si="1"/>
        <v>550.01216757375005</v>
      </c>
    </row>
    <row r="6" spans="1:7" ht="15.75">
      <c r="A6" s="8" t="s">
        <v>20</v>
      </c>
      <c r="B6" s="8"/>
      <c r="C6" s="11">
        <f>'Operating Assumptions'!C6</f>
        <v>0.31</v>
      </c>
      <c r="D6" s="11">
        <f>'Operating Assumptions'!D6</f>
        <v>0.32</v>
      </c>
      <c r="E6" s="11">
        <f>'Operating Assumptions'!E6</f>
        <v>0.33</v>
      </c>
      <c r="F6" s="11">
        <f>'Operating Assumptions'!F6</f>
        <v>0.34</v>
      </c>
      <c r="G6" s="11">
        <f>'Operating Assumptions'!G6</f>
        <v>0.35</v>
      </c>
    </row>
    <row r="7" spans="1:7" ht="15.75">
      <c r="A7" s="8" t="s">
        <v>70</v>
      </c>
      <c r="B7" s="8"/>
      <c r="C7" s="13">
        <f>C8*C3</f>
        <v>17.1675</v>
      </c>
      <c r="D7" s="13">
        <f t="shared" ref="D7:G7" si="2">D8*D3</f>
        <v>18.712575000000001</v>
      </c>
      <c r="E7" s="13">
        <f t="shared" si="2"/>
        <v>20.303143875000004</v>
      </c>
      <c r="F7" s="13">
        <f t="shared" si="2"/>
        <v>21.927395385000001</v>
      </c>
      <c r="G7" s="13">
        <f t="shared" si="2"/>
        <v>23.571950038875002</v>
      </c>
    </row>
    <row r="8" spans="1:7" ht="15.75">
      <c r="A8" s="8" t="s">
        <v>71</v>
      </c>
      <c r="B8" s="8"/>
      <c r="C8" s="9">
        <f>'Operating Assumptions'!C9</f>
        <v>1.4999999999999999E-2</v>
      </c>
      <c r="D8" s="9">
        <f>'Operating Assumptions'!D9</f>
        <v>1.4999999999999999E-2</v>
      </c>
      <c r="E8" s="9">
        <f>'Operating Assumptions'!E9</f>
        <v>1.4999999999999999E-2</v>
      </c>
      <c r="F8" s="9">
        <f>'Operating Assumptions'!F9</f>
        <v>1.4999999999999999E-2</v>
      </c>
      <c r="G8" s="9">
        <f>'Operating Assumptions'!G9</f>
        <v>1.4999999999999999E-2</v>
      </c>
    </row>
    <row r="9" spans="1:7" ht="15.75">
      <c r="A9" s="8" t="s">
        <v>51</v>
      </c>
      <c r="B9" s="8"/>
      <c r="C9" s="13">
        <f>C10*C5</f>
        <v>88.698750000000004</v>
      </c>
      <c r="D9" s="13">
        <f>D10*D5</f>
        <v>99.80040000000001</v>
      </c>
      <c r="E9" s="13">
        <f>E10*E5</f>
        <v>111.66729131250003</v>
      </c>
      <c r="F9" s="13">
        <f>F10*F5</f>
        <v>124.25524051500003</v>
      </c>
      <c r="G9" s="13">
        <f>G10*G5</f>
        <v>137.50304189343751</v>
      </c>
    </row>
    <row r="10" spans="1:7" ht="15.75">
      <c r="A10" s="8" t="s">
        <v>72</v>
      </c>
      <c r="B10" s="8"/>
      <c r="C10" s="11">
        <f>'Operating Assumptions'!C12</f>
        <v>0.25</v>
      </c>
      <c r="D10" s="11">
        <f>'Operating Assumptions'!D12</f>
        <v>0.25</v>
      </c>
      <c r="E10" s="11">
        <f>'Operating Assumptions'!E12</f>
        <v>0.25</v>
      </c>
      <c r="F10" s="11">
        <f>'Operating Assumptions'!F12</f>
        <v>0.25</v>
      </c>
      <c r="G10" s="11">
        <f>'Operating Assumptions'!G12</f>
        <v>0.25</v>
      </c>
    </row>
    <row r="11" spans="1:7" ht="15.75">
      <c r="A11" s="8" t="s">
        <v>73</v>
      </c>
      <c r="B11" s="8"/>
      <c r="C11" s="13">
        <f>C5-C7-C9</f>
        <v>248.92874999999998</v>
      </c>
      <c r="D11" s="13">
        <f t="shared" ref="D11:G11" si="3">D5-D7-D9</f>
        <v>280.688625</v>
      </c>
      <c r="E11" s="13">
        <f t="shared" si="3"/>
        <v>314.69873006250009</v>
      </c>
      <c r="F11" s="13">
        <f t="shared" si="3"/>
        <v>350.83832616000007</v>
      </c>
      <c r="G11" s="13">
        <f t="shared" si="3"/>
        <v>388.93717564143753</v>
      </c>
    </row>
    <row r="13" spans="1:7" ht="15.75">
      <c r="A13" s="8" t="s">
        <v>74</v>
      </c>
      <c r="B13" s="8"/>
    </row>
    <row r="14" spans="1:7" ht="15.75">
      <c r="A14" s="8" t="s">
        <v>75</v>
      </c>
      <c r="B14" s="8"/>
    </row>
    <row r="15" spans="1:7" ht="15.75">
      <c r="A15" s="8" t="s">
        <v>76</v>
      </c>
      <c r="B15" s="8"/>
    </row>
    <row r="17" spans="1:2" ht="15">
      <c r="A17" t="s">
        <v>77</v>
      </c>
    </row>
    <row r="18" spans="1:2" ht="15"/>
    <row r="19" spans="1:2" ht="15.75">
      <c r="A19" t="s">
        <v>78</v>
      </c>
      <c r="B19" s="8">
        <v>315</v>
      </c>
    </row>
    <row r="20" spans="1:2" ht="15.75">
      <c r="A20" t="s">
        <v>79</v>
      </c>
      <c r="B20" s="21">
        <v>2891.7</v>
      </c>
    </row>
    <row r="21" spans="1:2" ht="15.75">
      <c r="A21" t="s">
        <v>80</v>
      </c>
      <c r="B21" s="8" t="s">
        <v>81</v>
      </c>
    </row>
    <row r="22" spans="1:2" ht="15.75">
      <c r="A22" t="s">
        <v>82</v>
      </c>
      <c r="B22" s="8">
        <v>550</v>
      </c>
    </row>
    <row r="23" spans="1:2" ht="15.75">
      <c r="A23" t="s">
        <v>83</v>
      </c>
      <c r="B23" s="21">
        <v>4400.1000000000004</v>
      </c>
    </row>
    <row r="24" spans="1:2" ht="15.75">
      <c r="A24" t="s">
        <v>84</v>
      </c>
      <c r="B24" s="8" t="s">
        <v>85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761BE8-4791-4D47-8BA4-3E250E58E782}">
  <dimension ref="A2:E14"/>
  <sheetViews>
    <sheetView workbookViewId="0">
      <selection activeCell="E8" sqref="E8"/>
    </sheetView>
  </sheetViews>
  <sheetFormatPr defaultColWidth="11.5546875" defaultRowHeight="15.95"/>
  <cols>
    <col min="1" max="1" width="31.109375" customWidth="1"/>
    <col min="4" max="4" width="31.109375" customWidth="1"/>
    <col min="5" max="5" width="21.109375" customWidth="1"/>
  </cols>
  <sheetData>
    <row r="2" spans="1:5" ht="15"/>
    <row r="3" spans="1:5" ht="15">
      <c r="A3" t="s">
        <v>86</v>
      </c>
      <c r="B3">
        <f>'Trasaction Overview '!B27</f>
        <v>2835</v>
      </c>
      <c r="D3" t="s">
        <v>87</v>
      </c>
      <c r="E3" t="s">
        <v>54</v>
      </c>
    </row>
    <row r="4" spans="1:5">
      <c r="A4" t="s">
        <v>88</v>
      </c>
      <c r="B4">
        <f>B5*B3</f>
        <v>56.7</v>
      </c>
      <c r="D4" t="s">
        <v>89</v>
      </c>
      <c r="E4" t="s">
        <v>90</v>
      </c>
    </row>
    <row r="5" spans="1:5" ht="15.75">
      <c r="A5" t="s">
        <v>91</v>
      </c>
      <c r="B5" s="11">
        <v>0.02</v>
      </c>
      <c r="D5" t="s">
        <v>92</v>
      </c>
      <c r="E5" s="2">
        <v>0.53900000000000003</v>
      </c>
    </row>
    <row r="6" spans="1:5" ht="15.75">
      <c r="A6" t="s">
        <v>93</v>
      </c>
      <c r="B6" s="14">
        <f>B3+B4</f>
        <v>2891.7</v>
      </c>
      <c r="D6" t="s">
        <v>31</v>
      </c>
      <c r="E6" s="2">
        <v>0.46100000000000002</v>
      </c>
    </row>
    <row r="9" spans="1:5" ht="15.75">
      <c r="A9" s="8" t="s">
        <v>94</v>
      </c>
      <c r="B9" s="8"/>
    </row>
    <row r="10" spans="1:5" ht="15.75">
      <c r="A10" s="8" t="s">
        <v>95</v>
      </c>
      <c r="B10">
        <f>'Trasaction Overview '!B33*'Trasaction Overview '!B25</f>
        <v>1134</v>
      </c>
    </row>
    <row r="11" spans="1:5" ht="15.75">
      <c r="A11" s="8" t="s">
        <v>96</v>
      </c>
      <c r="B11">
        <f>0.15*B3</f>
        <v>425.25</v>
      </c>
    </row>
    <row r="12" spans="1:5" ht="15.75">
      <c r="A12" s="8" t="s">
        <v>36</v>
      </c>
      <c r="B12" s="8">
        <f>B10+B11</f>
        <v>1559.25</v>
      </c>
    </row>
    <row r="13" spans="1:5" ht="15.75">
      <c r="A13" t="s">
        <v>97</v>
      </c>
      <c r="B13" s="8">
        <f>B6-B12</f>
        <v>1332.4499999999998</v>
      </c>
    </row>
    <row r="14" spans="1:5" ht="15.75">
      <c r="A14" t="s">
        <v>98</v>
      </c>
      <c r="B14" s="14">
        <f>SUM(B10,B11,B13)</f>
        <v>2891.7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386C3-90EA-EF41-8E0C-DA1F094C044C}">
  <dimension ref="A2:I11"/>
  <sheetViews>
    <sheetView workbookViewId="0">
      <selection activeCell="I14" sqref="I14"/>
    </sheetView>
  </sheetViews>
  <sheetFormatPr defaultColWidth="11.5546875" defaultRowHeight="15.95"/>
  <cols>
    <col min="1" max="1" width="24.77734375" customWidth="1"/>
  </cols>
  <sheetData>
    <row r="2" spans="1:9">
      <c r="A2" t="s">
        <v>39</v>
      </c>
      <c r="B2" t="s">
        <v>99</v>
      </c>
      <c r="C2" t="s">
        <v>41</v>
      </c>
      <c r="D2" t="s">
        <v>42</v>
      </c>
      <c r="E2" t="s">
        <v>66</v>
      </c>
      <c r="F2" t="s">
        <v>44</v>
      </c>
      <c r="G2" t="s">
        <v>45</v>
      </c>
    </row>
    <row r="3" spans="1:9">
      <c r="A3" t="s">
        <v>100</v>
      </c>
      <c r="B3">
        <f>'Trasaction Overview '!B15</f>
        <v>1050</v>
      </c>
      <c r="C3">
        <f>B6</f>
        <v>1050</v>
      </c>
      <c r="D3">
        <f t="shared" ref="D3:G3" si="0">C6</f>
        <v>1144.5</v>
      </c>
      <c r="E3">
        <f t="shared" si="0"/>
        <v>1247.5050000000001</v>
      </c>
      <c r="F3">
        <f t="shared" si="0"/>
        <v>1353.5429250000002</v>
      </c>
      <c r="G3">
        <f t="shared" si="0"/>
        <v>1461.8263590000001</v>
      </c>
    </row>
    <row r="4" spans="1:9">
      <c r="A4" t="s">
        <v>101</v>
      </c>
      <c r="C4" s="2">
        <v>0.09</v>
      </c>
      <c r="D4" s="2">
        <v>0.09</v>
      </c>
      <c r="E4" s="2">
        <v>8.5000000000000006E-2</v>
      </c>
      <c r="F4" s="2">
        <v>0.08</v>
      </c>
      <c r="G4" s="2">
        <v>7.4999999999999997E-2</v>
      </c>
    </row>
    <row r="5" spans="1:9">
      <c r="A5" t="s">
        <v>102</v>
      </c>
      <c r="C5">
        <f>C4*C3</f>
        <v>94.5</v>
      </c>
      <c r="D5">
        <f t="shared" ref="D5:G5" si="1">D4*D3</f>
        <v>103.005</v>
      </c>
      <c r="E5">
        <f t="shared" si="1"/>
        <v>106.03792500000002</v>
      </c>
      <c r="F5">
        <f t="shared" si="1"/>
        <v>108.28343400000001</v>
      </c>
      <c r="G5">
        <f t="shared" si="1"/>
        <v>109.63697692500001</v>
      </c>
    </row>
    <row r="6" spans="1:9" ht="15.75">
      <c r="A6" t="s">
        <v>103</v>
      </c>
      <c r="B6" s="14">
        <f>B3</f>
        <v>1050</v>
      </c>
      <c r="C6" s="14">
        <f>C4*C3+C3</f>
        <v>1144.5</v>
      </c>
      <c r="D6" s="14">
        <f t="shared" ref="D6:G6" si="2">D4*D3+D3</f>
        <v>1247.5050000000001</v>
      </c>
      <c r="E6" s="14">
        <f t="shared" si="2"/>
        <v>1353.5429250000002</v>
      </c>
      <c r="F6" s="14">
        <f t="shared" si="2"/>
        <v>1461.8263590000001</v>
      </c>
      <c r="G6" s="14">
        <f t="shared" si="2"/>
        <v>1571.4633359250001</v>
      </c>
    </row>
    <row r="8" spans="1:9">
      <c r="A8" t="s">
        <v>39</v>
      </c>
      <c r="B8" t="s">
        <v>99</v>
      </c>
      <c r="C8" t="s">
        <v>41</v>
      </c>
      <c r="D8" t="s">
        <v>42</v>
      </c>
      <c r="E8" t="s">
        <v>66</v>
      </c>
      <c r="F8" t="s">
        <v>44</v>
      </c>
      <c r="G8" t="s">
        <v>45</v>
      </c>
    </row>
    <row r="9" spans="1:9">
      <c r="A9" t="s">
        <v>104</v>
      </c>
      <c r="B9">
        <f>' Incremental Revenue and EBITDA'!B6</f>
        <v>1050</v>
      </c>
      <c r="C9">
        <f>' Incremental Revenue and EBITDA'!C6</f>
        <v>1144.5</v>
      </c>
      <c r="D9">
        <f>' Incremental Revenue and EBITDA'!D6</f>
        <v>1247.5050000000001</v>
      </c>
      <c r="E9">
        <f>' Incremental Revenue and EBITDA'!E6</f>
        <v>1353.5429250000002</v>
      </c>
      <c r="F9">
        <f>' Incremental Revenue and EBITDA'!F6</f>
        <v>1461.8263590000001</v>
      </c>
      <c r="G9">
        <f>' Incremental Revenue and EBITDA'!G6</f>
        <v>1571.4633359250001</v>
      </c>
    </row>
    <row r="10" spans="1:9" ht="15.75">
      <c r="A10" t="s">
        <v>105</v>
      </c>
      <c r="B10" s="2">
        <v>0.3</v>
      </c>
      <c r="C10" s="3">
        <v>0.31</v>
      </c>
      <c r="D10" s="3">
        <v>0.32</v>
      </c>
      <c r="E10" s="3">
        <v>0.33</v>
      </c>
      <c r="F10" s="3">
        <v>0.34</v>
      </c>
      <c r="G10" s="3">
        <v>0.35</v>
      </c>
      <c r="I10" s="5" t="s">
        <v>106</v>
      </c>
    </row>
    <row r="11" spans="1:9" ht="15.75">
      <c r="A11" t="s">
        <v>107</v>
      </c>
      <c r="B11" s="15">
        <f>B10*B9</f>
        <v>315</v>
      </c>
      <c r="C11" s="15">
        <f>C10*C9</f>
        <v>354.79500000000002</v>
      </c>
      <c r="D11" s="15">
        <f>D10*D9</f>
        <v>399.20160000000004</v>
      </c>
      <c r="E11" s="15">
        <f>E10*E9</f>
        <v>446.66916525000011</v>
      </c>
      <c r="F11" s="15">
        <f>F10*F9</f>
        <v>497.0209620600001</v>
      </c>
      <c r="G11" s="15">
        <f>G10*G9</f>
        <v>550.01216757375005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F43EC-1283-B647-9BFF-BF93CA1A9C95}">
  <dimension ref="A2:I7"/>
  <sheetViews>
    <sheetView workbookViewId="0">
      <selection activeCell="J26" sqref="J26"/>
    </sheetView>
  </sheetViews>
  <sheetFormatPr defaultColWidth="11.5546875" defaultRowHeight="15.95"/>
  <cols>
    <col min="1" max="1" width="13.6640625" bestFit="1" customWidth="1"/>
  </cols>
  <sheetData>
    <row r="2" spans="1:9" ht="15">
      <c r="A2" t="s">
        <v>39</v>
      </c>
      <c r="B2" s="16" t="s">
        <v>99</v>
      </c>
      <c r="C2" s="16" t="s">
        <v>41</v>
      </c>
      <c r="D2" s="16" t="s">
        <v>42</v>
      </c>
      <c r="E2" s="16" t="s">
        <v>66</v>
      </c>
      <c r="F2" s="16" t="s">
        <v>44</v>
      </c>
      <c r="G2" s="16" t="s">
        <v>45</v>
      </c>
    </row>
    <row r="3" spans="1:9">
      <c r="A3" t="s">
        <v>69</v>
      </c>
      <c r="B3" s="4">
        <f>' Incremental Revenue and EBITDA'!B11</f>
        <v>315</v>
      </c>
      <c r="C3" s="4">
        <f>' Incremental Revenue and EBITDA'!C11</f>
        <v>354.79500000000002</v>
      </c>
      <c r="D3" s="4">
        <f>' Incremental Revenue and EBITDA'!D11</f>
        <v>399.20160000000004</v>
      </c>
      <c r="E3" s="4">
        <f>' Incremental Revenue and EBITDA'!E11</f>
        <v>446.66916525000011</v>
      </c>
      <c r="F3" s="4">
        <f>' Incremental Revenue and EBITDA'!F11</f>
        <v>497.0209620600001</v>
      </c>
      <c r="G3" s="4">
        <f>' Incremental Revenue and EBITDA'!G11</f>
        <v>550.01216757375005</v>
      </c>
    </row>
    <row r="4" spans="1:9">
      <c r="A4" t="s">
        <v>108</v>
      </c>
      <c r="C4" s="4">
        <f>'Operational Multiples'!C9</f>
        <v>88.698750000000004</v>
      </c>
      <c r="D4" s="4">
        <f>'Operational Multiples'!D9</f>
        <v>99.80040000000001</v>
      </c>
      <c r="E4" s="4">
        <f>'Operational Multiples'!E9</f>
        <v>111.66729131250003</v>
      </c>
      <c r="F4" s="4">
        <f>'Operational Multiples'!F9</f>
        <v>124.25524051500003</v>
      </c>
      <c r="G4" s="4">
        <f>'Operational Multiples'!G9</f>
        <v>137.50304189343751</v>
      </c>
    </row>
    <row r="5" spans="1:9">
      <c r="A5" t="s">
        <v>62</v>
      </c>
      <c r="C5" s="4">
        <f>'Operating Assumptions'!C10</f>
        <v>17.1675</v>
      </c>
      <c r="D5" s="4">
        <f>'Operating Assumptions'!D10</f>
        <v>18.712575000000001</v>
      </c>
      <c r="E5" s="4">
        <f>'Operating Assumptions'!E10</f>
        <v>20.303143875000004</v>
      </c>
      <c r="F5" s="4">
        <f>'Operating Assumptions'!F10</f>
        <v>21.927395385000001</v>
      </c>
      <c r="G5" s="4">
        <f>'Operating Assumptions'!G10</f>
        <v>23.571950038875002</v>
      </c>
    </row>
    <row r="6" spans="1:9">
      <c r="A6" t="s">
        <v>52</v>
      </c>
      <c r="C6">
        <v>0</v>
      </c>
      <c r="D6">
        <v>0</v>
      </c>
      <c r="E6">
        <v>0</v>
      </c>
      <c r="F6">
        <v>0</v>
      </c>
      <c r="G6">
        <v>0</v>
      </c>
    </row>
    <row r="7" spans="1:9" ht="15.75">
      <c r="A7" t="s">
        <v>73</v>
      </c>
      <c r="C7" s="15">
        <f>C3-C4-C5-C6</f>
        <v>248.92875000000001</v>
      </c>
      <c r="D7" s="15">
        <f>D3-D4-D5-D6</f>
        <v>280.688625</v>
      </c>
      <c r="E7" s="15">
        <f>E3-E4-E5-E6</f>
        <v>314.69873006250009</v>
      </c>
      <c r="F7" s="15">
        <f>F3-F4-F5-F6</f>
        <v>350.83832616000007</v>
      </c>
      <c r="G7" s="15">
        <f>G3-G4-G5-G6</f>
        <v>388.93717564143753</v>
      </c>
      <c r="I7" s="5" t="s">
        <v>109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F7381B-D074-C043-A0B3-D8DD548ABE08}">
  <dimension ref="A2:G11"/>
  <sheetViews>
    <sheetView workbookViewId="0">
      <selection activeCell="A14" sqref="A14"/>
    </sheetView>
  </sheetViews>
  <sheetFormatPr defaultColWidth="11.5546875" defaultRowHeight="15.95"/>
  <cols>
    <col min="1" max="1" width="27" customWidth="1"/>
    <col min="2" max="2" width="25.44140625" customWidth="1"/>
    <col min="3" max="3" width="32.33203125" customWidth="1"/>
    <col min="4" max="4" width="24.44140625" customWidth="1"/>
    <col min="5" max="5" width="26.109375" customWidth="1"/>
    <col min="6" max="6" width="23.21875" customWidth="1"/>
    <col min="7" max="7" width="20.44140625" customWidth="1"/>
  </cols>
  <sheetData>
    <row r="2" spans="1:7" ht="15">
      <c r="A2" t="s">
        <v>110</v>
      </c>
      <c r="B2" s="16" t="s">
        <v>99</v>
      </c>
      <c r="C2" s="16" t="s">
        <v>111</v>
      </c>
      <c r="D2" s="16" t="s">
        <v>42</v>
      </c>
      <c r="E2" s="16" t="s">
        <v>66</v>
      </c>
      <c r="F2" s="16" t="s">
        <v>44</v>
      </c>
      <c r="G2" s="16" t="s">
        <v>45</v>
      </c>
    </row>
    <row r="3" spans="1:7">
      <c r="A3" t="s">
        <v>112</v>
      </c>
      <c r="B3">
        <f>'Sources and Uses'!B10</f>
        <v>1134</v>
      </c>
      <c r="C3">
        <f>B9</f>
        <v>1134</v>
      </c>
      <c r="D3">
        <f t="shared" ref="D3:G3" si="0">C9</f>
        <v>885.07124999999996</v>
      </c>
      <c r="E3">
        <f t="shared" si="0"/>
        <v>604.38262499999996</v>
      </c>
      <c r="F3">
        <f t="shared" si="0"/>
        <v>289.68389493749987</v>
      </c>
      <c r="G3" s="4">
        <f>F9</f>
        <v>-3.3105062500112581E-2</v>
      </c>
    </row>
    <row r="4" spans="1:7" ht="15.75">
      <c r="A4" t="s">
        <v>113</v>
      </c>
      <c r="C4" s="14">
        <f>C5*'Sources and Uses'!B14</f>
        <v>28.916999999999998</v>
      </c>
      <c r="D4" s="14">
        <f>'Sources and Uses'!B14*C5</f>
        <v>28.916999999999998</v>
      </c>
      <c r="E4" s="14">
        <v>28.916999999999998</v>
      </c>
      <c r="F4" s="14">
        <v>28.916999999999998</v>
      </c>
      <c r="G4" s="8">
        <v>0</v>
      </c>
    </row>
    <row r="5" spans="1:7">
      <c r="A5" t="s">
        <v>114</v>
      </c>
      <c r="B5" s="3"/>
      <c r="C5" s="3">
        <v>0.01</v>
      </c>
      <c r="D5" s="3">
        <v>0.01</v>
      </c>
      <c r="E5" s="3">
        <v>0.01</v>
      </c>
      <c r="F5" s="3">
        <v>0.01</v>
      </c>
      <c r="G5" s="3">
        <v>0.01</v>
      </c>
    </row>
    <row r="6" spans="1:7" ht="15.75">
      <c r="A6" t="s">
        <v>115</v>
      </c>
      <c r="B6" s="3"/>
      <c r="C6" s="12">
        <f>C3-C4</f>
        <v>1105.0830000000001</v>
      </c>
      <c r="D6" s="12">
        <f t="shared" ref="D6:G6" si="1">D3-D4</f>
        <v>856.15424999999993</v>
      </c>
      <c r="E6" s="12">
        <f t="shared" si="1"/>
        <v>575.46562499999993</v>
      </c>
      <c r="F6" s="12">
        <f t="shared" si="1"/>
        <v>260.7668949374999</v>
      </c>
      <c r="G6" s="12">
        <f t="shared" si="1"/>
        <v>-3.3105062500112581E-2</v>
      </c>
    </row>
    <row r="7" spans="1:7" ht="15.75">
      <c r="A7" t="s">
        <v>116</v>
      </c>
      <c r="C7" s="15">
        <f>MIN('Free Cash Flow &amp; EBITDA '!C7-C4)</f>
        <v>220.01175000000001</v>
      </c>
      <c r="D7" s="15">
        <f>MIN('Free Cash Flow &amp; EBITDA '!D7-D4)</f>
        <v>251.771625</v>
      </c>
      <c r="E7" s="15">
        <f>MIN('Free Cash Flow &amp; EBITDA '!E7-E4)</f>
        <v>285.78173006250012</v>
      </c>
      <c r="F7" s="15">
        <v>260.8</v>
      </c>
      <c r="G7" s="15">
        <v>0</v>
      </c>
    </row>
    <row r="8" spans="1:7">
      <c r="A8" t="s">
        <v>117</v>
      </c>
      <c r="C8" s="4">
        <f>C4+C7</f>
        <v>248.92875000000001</v>
      </c>
      <c r="D8" s="4">
        <f>D4+D7</f>
        <v>280.688625</v>
      </c>
      <c r="E8" s="4">
        <f>E4+E7</f>
        <v>314.69873006250009</v>
      </c>
      <c r="F8" s="4">
        <f>F4+F7</f>
        <v>289.71699999999998</v>
      </c>
      <c r="G8" s="4">
        <f>G4+G7</f>
        <v>0</v>
      </c>
    </row>
    <row r="9" spans="1:7" ht="15.75">
      <c r="A9" t="s">
        <v>118</v>
      </c>
      <c r="B9" s="14">
        <v>1134</v>
      </c>
      <c r="C9" s="15">
        <f>C3-C8</f>
        <v>885.07124999999996</v>
      </c>
      <c r="D9" s="15">
        <f>D3-D8</f>
        <v>604.38262499999996</v>
      </c>
      <c r="E9" s="15">
        <f>E3-E8</f>
        <v>289.68389493749987</v>
      </c>
      <c r="F9" s="15">
        <f>F3-F8</f>
        <v>-3.3105062500112581E-2</v>
      </c>
      <c r="G9" s="15">
        <f>G3-G8</f>
        <v>-3.3105062500112581E-2</v>
      </c>
    </row>
    <row r="11" spans="1:7" ht="15.75">
      <c r="A11" s="5" t="s">
        <v>119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D86E5D-4ACC-4D41-A056-25EEF1C1EFE4}">
  <dimension ref="A2:C17"/>
  <sheetViews>
    <sheetView workbookViewId="0">
      <selection activeCell="A13" sqref="A13:C13"/>
    </sheetView>
  </sheetViews>
  <sheetFormatPr defaultColWidth="11.5546875" defaultRowHeight="15.95"/>
  <cols>
    <col min="1" max="1" width="24.77734375" customWidth="1"/>
    <col min="2" max="3" width="17.44140625" customWidth="1"/>
  </cols>
  <sheetData>
    <row r="2" spans="1:3" ht="15"/>
    <row r="3" spans="1:3">
      <c r="A3" t="s">
        <v>120</v>
      </c>
      <c r="B3" t="s">
        <v>45</v>
      </c>
    </row>
    <row r="4" spans="1:3">
      <c r="A4" t="s">
        <v>121</v>
      </c>
      <c r="B4">
        <v>8</v>
      </c>
    </row>
    <row r="5" spans="1:3">
      <c r="A5" t="s">
        <v>122</v>
      </c>
      <c r="B5" s="4">
        <f>' Incremental Revenue and EBITDA'!G11</f>
        <v>550.01216757375005</v>
      </c>
    </row>
    <row r="6" spans="1:3" ht="15.75">
      <c r="A6" t="s">
        <v>123</v>
      </c>
      <c r="B6" s="14">
        <f>B5*B4</f>
        <v>4400.0973405900004</v>
      </c>
    </row>
    <row r="7" spans="1:3">
      <c r="A7" t="s">
        <v>124</v>
      </c>
      <c r="B7" s="4">
        <f>'Debt Schedule and Cash Sweeep'!G9</f>
        <v>-3.3105062500112581E-2</v>
      </c>
    </row>
    <row r="8" spans="1:3">
      <c r="A8" t="s">
        <v>125</v>
      </c>
      <c r="B8" s="4">
        <f>'Debt Schedule and Cash Sweeep'!G7</f>
        <v>0</v>
      </c>
    </row>
    <row r="9" spans="1:3" ht="15.75">
      <c r="A9" t="s">
        <v>126</v>
      </c>
      <c r="B9" s="15">
        <f>B6-B7</f>
        <v>4400.1304456525004</v>
      </c>
    </row>
    <row r="11" spans="1:3" ht="15.75">
      <c r="A11" s="8" t="s">
        <v>127</v>
      </c>
      <c r="B11" s="8" t="s">
        <v>128</v>
      </c>
      <c r="C11" s="8" t="s">
        <v>83</v>
      </c>
    </row>
    <row r="12" spans="1:3" ht="15.75">
      <c r="A12" t="s">
        <v>129</v>
      </c>
      <c r="B12" s="8" t="s">
        <v>130</v>
      </c>
      <c r="C12" s="21">
        <v>4125.1000000000004</v>
      </c>
    </row>
    <row r="13" spans="1:3" ht="15.75">
      <c r="A13" s="22" t="s">
        <v>131</v>
      </c>
      <c r="B13" s="22" t="s">
        <v>85</v>
      </c>
      <c r="C13" s="23">
        <v>4400.1000000000004</v>
      </c>
    </row>
    <row r="14" spans="1:3" ht="15.75">
      <c r="A14" t="s">
        <v>132</v>
      </c>
      <c r="B14" s="8" t="s">
        <v>133</v>
      </c>
      <c r="C14" s="21">
        <v>4675.1000000000004</v>
      </c>
    </row>
    <row r="15" spans="1:3" ht="15"/>
    <row r="16" spans="1:3" ht="15.75">
      <c r="A16" s="5" t="s">
        <v>134</v>
      </c>
      <c r="B16" s="5" t="s">
        <v>135</v>
      </c>
    </row>
    <row r="17" spans="2:2" ht="15.75">
      <c r="B17" s="5" t="s">
        <v>136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1B6B9F-2C78-3043-82F1-0EC4AA45BB98}">
  <dimension ref="A2:G21"/>
  <sheetViews>
    <sheetView tabSelected="1" workbookViewId="0">
      <selection activeCell="F16" sqref="F16"/>
    </sheetView>
  </sheetViews>
  <sheetFormatPr defaultColWidth="11.5546875" defaultRowHeight="15.95"/>
  <cols>
    <col min="1" max="1" width="28" customWidth="1"/>
  </cols>
  <sheetData>
    <row r="2" spans="1:7" ht="15">
      <c r="A2" t="s">
        <v>39</v>
      </c>
      <c r="B2" s="16" t="s">
        <v>99</v>
      </c>
      <c r="C2" s="16" t="s">
        <v>41</v>
      </c>
      <c r="D2" s="16" t="s">
        <v>42</v>
      </c>
      <c r="E2" s="16" t="s">
        <v>66</v>
      </c>
      <c r="F2" s="16" t="s">
        <v>44</v>
      </c>
      <c r="G2" s="16" t="s">
        <v>45</v>
      </c>
    </row>
    <row r="3" spans="1:7">
      <c r="A3" t="s">
        <v>137</v>
      </c>
      <c r="B3">
        <f>'Sources and Uses'!B13</f>
        <v>1332.4499999999998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t="s">
        <v>138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t="s">
        <v>139</v>
      </c>
      <c r="B5">
        <v>0</v>
      </c>
      <c r="C5">
        <v>0</v>
      </c>
      <c r="D5">
        <v>0</v>
      </c>
      <c r="E5">
        <v>0</v>
      </c>
      <c r="F5">
        <v>0</v>
      </c>
      <c r="G5" s="4">
        <f>'Exit Analysis'!B9</f>
        <v>4400.1304456525004</v>
      </c>
    </row>
    <row r="6" spans="1:7" ht="15.75">
      <c r="A6" t="s">
        <v>140</v>
      </c>
      <c r="B6" s="14" cm="1">
        <f t="array" ref="B6">SUM(-B3:B5)</f>
        <v>-1332.4499999999998</v>
      </c>
      <c r="C6" s="14">
        <f>SUM(C3:C5)</f>
        <v>0</v>
      </c>
      <c r="D6" s="14">
        <f t="shared" ref="D6:G6" si="0">SUM(D3:D5)</f>
        <v>0</v>
      </c>
      <c r="E6" s="14">
        <f t="shared" si="0"/>
        <v>0</v>
      </c>
      <c r="F6" s="14">
        <f t="shared" si="0"/>
        <v>0</v>
      </c>
      <c r="G6" s="15">
        <f t="shared" si="0"/>
        <v>4400.1304456525004</v>
      </c>
    </row>
    <row r="8" spans="1:7" ht="15.75">
      <c r="A8" t="s">
        <v>141</v>
      </c>
      <c r="B8" s="17">
        <f>IRR(B6:G6)</f>
        <v>0.26988070992258395</v>
      </c>
    </row>
    <row r="10" spans="1:7" ht="15.75">
      <c r="A10" t="s">
        <v>142</v>
      </c>
      <c r="B10" s="18">
        <f>G6/B3</f>
        <v>3.3022855984483477</v>
      </c>
    </row>
    <row r="13" spans="1:7" ht="15.75">
      <c r="A13" s="5" t="s">
        <v>143</v>
      </c>
    </row>
    <row r="14" spans="1:7">
      <c r="A14" t="s">
        <v>144</v>
      </c>
      <c r="B14" t="s">
        <v>141</v>
      </c>
      <c r="C14" t="s">
        <v>145</v>
      </c>
    </row>
    <row r="15" spans="1:7">
      <c r="A15" t="s">
        <v>146</v>
      </c>
      <c r="B15" s="3">
        <v>0.28999999999999998</v>
      </c>
      <c r="C15">
        <v>3.5</v>
      </c>
    </row>
    <row r="16" spans="1:7">
      <c r="A16" s="19" t="s">
        <v>147</v>
      </c>
      <c r="B16" s="20">
        <v>0.27</v>
      </c>
      <c r="C16" s="19">
        <v>3.33</v>
      </c>
      <c r="F16">
        <v>28</v>
      </c>
    </row>
    <row r="17" spans="1:3">
      <c r="A17" t="s">
        <v>148</v>
      </c>
      <c r="B17" s="3">
        <v>0.25</v>
      </c>
      <c r="C17">
        <v>3.09</v>
      </c>
    </row>
    <row r="18" spans="1:3">
      <c r="A18" t="s">
        <v>149</v>
      </c>
      <c r="B18" s="3">
        <v>0.24</v>
      </c>
      <c r="C18">
        <v>2.89</v>
      </c>
    </row>
    <row r="21" spans="1:3" ht="15.75">
      <c r="A21" s="8" t="s">
        <v>150</v>
      </c>
      <c r="B21" s="8" t="s">
        <v>151</v>
      </c>
    </row>
  </sheetData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. Gaurav</dc:creator>
  <cp:keywords/>
  <dc:description/>
  <cp:lastModifiedBy/>
  <cp:revision/>
  <dcterms:created xsi:type="dcterms:W3CDTF">2026-01-06T00:53:41Z</dcterms:created>
  <dcterms:modified xsi:type="dcterms:W3CDTF">2026-02-01T13:46:24Z</dcterms:modified>
  <cp:category/>
  <cp:contentStatus/>
</cp:coreProperties>
</file>